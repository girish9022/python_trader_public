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ython_trader\trade_public\python_trader_public\"/>
    </mc:Choice>
  </mc:AlternateContent>
  <xr:revisionPtr revIDLastSave="0" documentId="13_ncr:1_{7293C90B-EEDD-4D15-88A4-F41F9876310F}" xr6:coauthVersionLast="47" xr6:coauthVersionMax="47" xr10:uidLastSave="{00000000-0000-0000-0000-000000000000}"/>
  <bookViews>
    <workbookView xWindow="-120" yWindow="-120" windowWidth="29040" windowHeight="15720" tabRatio="838" xr2:uid="{00000000-000D-0000-FFFF-FFFF00000000}"/>
  </bookViews>
  <sheets>
    <sheet name="User_Credential" sheetId="1" r:id="rId1"/>
    <sheet name="Config" sheetId="12" r:id="rId2"/>
    <sheet name="Chartink_Result" sheetId="13" r:id="rId3"/>
    <sheet name="Trade_Terminal" sheetId="2" r:id="rId4"/>
    <sheet name="OpenPosition" sheetId="7" r:id="rId5"/>
    <sheet name="OrderBook" sheetId="6" r:id="rId6"/>
    <sheet name="Holdings" sheetId="9" r:id="rId7"/>
    <sheet name="Option_Chain_Input" sheetId="3" r:id="rId8"/>
    <sheet name="Option_Chain_Output" sheetId="8" r:id="rId9"/>
    <sheet name="Option_Chain_Pro_Input" sheetId="10" r:id="rId10"/>
    <sheet name="Option_Chain_Pro_Output" sheetId="11" r:id="rId11"/>
  </sheets>
  <definedNames>
    <definedName name="_xlnm._FilterDatabase" localSheetId="7" hidden="1">Option_Chain_Input!$A$1:$E$206</definedName>
    <definedName name="_xlnm._FilterDatabase" localSheetId="9" hidden="1">Option_Chain_Pro_Input!$A$1:$E$205</definedName>
    <definedName name="_xlnm._FilterDatabase" localSheetId="5" hidden="1">OrderBook!$A$1:$N$18</definedName>
    <definedName name="_xlnm._FilterDatabase" localSheetId="3" hidden="1">Trade_Terminal!$A$31:$AC$54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2" i="2" l="1"/>
  <c r="E4" i="3"/>
  <c r="V2" i="2"/>
  <c r="E4" i="10"/>
</calcChain>
</file>

<file path=xl/sharedStrings.xml><?xml version="1.0" encoding="utf-8"?>
<sst xmlns="http://schemas.openxmlformats.org/spreadsheetml/2006/main" count="1041" uniqueCount="456">
  <si>
    <t>userid</t>
  </si>
  <si>
    <t>password</t>
  </si>
  <si>
    <t>ToTP</t>
  </si>
  <si>
    <t>vendor_code</t>
  </si>
  <si>
    <t>api_secret</t>
  </si>
  <si>
    <t>Symbol</t>
  </si>
  <si>
    <t>Open</t>
  </si>
  <si>
    <t>High</t>
  </si>
  <si>
    <t>Low</t>
  </si>
  <si>
    <t>Close</t>
  </si>
  <si>
    <t>VWAP</t>
  </si>
  <si>
    <t>Best Buy Price</t>
  </si>
  <si>
    <t>Best Sell Price</t>
  </si>
  <si>
    <t>Volume</t>
  </si>
  <si>
    <t>LTP</t>
  </si>
  <si>
    <t>Percentage change</t>
  </si>
  <si>
    <t>Qty</t>
  </si>
  <si>
    <t>Entry Signal</t>
  </si>
  <si>
    <t>Exit Signal</t>
  </si>
  <si>
    <t>Target</t>
  </si>
  <si>
    <t>SL</t>
  </si>
  <si>
    <t>Trade Status</t>
  </si>
  <si>
    <t>-</t>
  </si>
  <si>
    <t>NSE:NIFTY INDEX</t>
  </si>
  <si>
    <t>NSE:INDIA VIX</t>
  </si>
  <si>
    <t>NSE:NIFTY BANK</t>
  </si>
  <si>
    <t>NSE:FIN NIFTY</t>
  </si>
  <si>
    <t>NSE:IDEA-EQ</t>
  </si>
  <si>
    <t>NSE:RELIANCE-EQ</t>
  </si>
  <si>
    <t>LotSize</t>
  </si>
  <si>
    <t>AARTIIND</t>
  </si>
  <si>
    <t>ABB</t>
  </si>
  <si>
    <t>ITC</t>
  </si>
  <si>
    <t>ABBOTINDIA</t>
  </si>
  <si>
    <t>ABCAPITAL</t>
  </si>
  <si>
    <t>ABFRL</t>
  </si>
  <si>
    <t>ACC</t>
  </si>
  <si>
    <t>ADANIENT</t>
  </si>
  <si>
    <t>ADANIPORTS</t>
  </si>
  <si>
    <t>ALKEM</t>
  </si>
  <si>
    <t>AMBUJACEM</t>
  </si>
  <si>
    <t>APOLLOHOSP</t>
  </si>
  <si>
    <t>APOLLOTYRE</t>
  </si>
  <si>
    <t>ASHOKLEY</t>
  </si>
  <si>
    <t>ASIANPAINT</t>
  </si>
  <si>
    <t>ASTRAL</t>
  </si>
  <si>
    <t>NIFTY</t>
  </si>
  <si>
    <t>BANKNIFTY</t>
  </si>
  <si>
    <t>FINNIFTY</t>
  </si>
  <si>
    <t>OI</t>
  </si>
  <si>
    <t>ATUL</t>
  </si>
  <si>
    <t>AUBANK</t>
  </si>
  <si>
    <t>AUROPHARMA</t>
  </si>
  <si>
    <t>AXISBANK</t>
  </si>
  <si>
    <t>BAJAJ-AUTO</t>
  </si>
  <si>
    <t>BAJAJFINSV</t>
  </si>
  <si>
    <t>BAJFINANCE</t>
  </si>
  <si>
    <t>BALKRISIND</t>
  </si>
  <si>
    <t>BALRAMCHIN</t>
  </si>
  <si>
    <t>BANDHANBNK</t>
  </si>
  <si>
    <t>BANKBARODA</t>
  </si>
  <si>
    <t>BATAINDIA</t>
  </si>
  <si>
    <t>BEL</t>
  </si>
  <si>
    <t>BERGEPAINT</t>
  </si>
  <si>
    <t>BHARATFORG</t>
  </si>
  <si>
    <t>BHARTIARTL</t>
  </si>
  <si>
    <t>BHEL</t>
  </si>
  <si>
    <t>BIOCON</t>
  </si>
  <si>
    <t>BOSCHLTD</t>
  </si>
  <si>
    <t>BPCL</t>
  </si>
  <si>
    <t>BRITANNIA</t>
  </si>
  <si>
    <t>BSOFT</t>
  </si>
  <si>
    <t>CANBK</t>
  </si>
  <si>
    <t>CANFINHOME</t>
  </si>
  <si>
    <t>CHAMBLFERT</t>
  </si>
  <si>
    <t>CHOLAFIN</t>
  </si>
  <si>
    <t>CIPLA</t>
  </si>
  <si>
    <t>COALINDIA</t>
  </si>
  <si>
    <t>COFORGE</t>
  </si>
  <si>
    <t>COLPAL</t>
  </si>
  <si>
    <t>CONCOR</t>
  </si>
  <si>
    <t>COROMANDEL</t>
  </si>
  <si>
    <t>CROMPTON</t>
  </si>
  <si>
    <t>CUB</t>
  </si>
  <si>
    <t>CUMMINSIND</t>
  </si>
  <si>
    <t>DABUR</t>
  </si>
  <si>
    <t>DALBHARAT</t>
  </si>
  <si>
    <t>DEEPAKNTR</t>
  </si>
  <si>
    <t>DELTACORP</t>
  </si>
  <si>
    <t>DIVISLAB</t>
  </si>
  <si>
    <t>DIXON</t>
  </si>
  <si>
    <t>DLF</t>
  </si>
  <si>
    <t>DRREDDY</t>
  </si>
  <si>
    <t>EICHERMOT</t>
  </si>
  <si>
    <t>ESCORTS</t>
  </si>
  <si>
    <t>EXIDEIND</t>
  </si>
  <si>
    <t>FEDERALBNK</t>
  </si>
  <si>
    <t>GAIL</t>
  </si>
  <si>
    <t>GLENMARK</t>
  </si>
  <si>
    <t>GMRINFRA</t>
  </si>
  <si>
    <t>GNFC</t>
  </si>
  <si>
    <t>GODREJCP</t>
  </si>
  <si>
    <t>GODREJPROP</t>
  </si>
  <si>
    <t>GRANULES</t>
  </si>
  <si>
    <t>GRASIM</t>
  </si>
  <si>
    <t>GUJGASLTD</t>
  </si>
  <si>
    <t>HAL</t>
  </si>
  <si>
    <t>HAVELLS</t>
  </si>
  <si>
    <t>HCLTECH</t>
  </si>
  <si>
    <t>HDFCAMC</t>
  </si>
  <si>
    <t>HDFCBANK</t>
  </si>
  <si>
    <t>HDFCLIFE</t>
  </si>
  <si>
    <t>HEROMOTOCO</t>
  </si>
  <si>
    <t>HINDALCO</t>
  </si>
  <si>
    <t>HINDCOPPER</t>
  </si>
  <si>
    <t>HINDPETRO</t>
  </si>
  <si>
    <t>HINDUNILVR</t>
  </si>
  <si>
    <t>IBULHSGFIN</t>
  </si>
  <si>
    <t>ICICIBANK</t>
  </si>
  <si>
    <t>ICICIGI</t>
  </si>
  <si>
    <t>ICICIPRULI</t>
  </si>
  <si>
    <t>IDEA</t>
  </si>
  <si>
    <t>IDFC</t>
  </si>
  <si>
    <t>IDFCFIRSTB</t>
  </si>
  <si>
    <t>IEX</t>
  </si>
  <si>
    <t>IGL</t>
  </si>
  <si>
    <t>INDHOTEL</t>
  </si>
  <si>
    <t>INDIACEM</t>
  </si>
  <si>
    <t>INDIAMART</t>
  </si>
  <si>
    <t>INDIGO</t>
  </si>
  <si>
    <t>INDUSINDBK</t>
  </si>
  <si>
    <t>INDUSTOWER</t>
  </si>
  <si>
    <t>INFY</t>
  </si>
  <si>
    <t>IOC</t>
  </si>
  <si>
    <t>IPCALAB</t>
  </si>
  <si>
    <t>IRCTC</t>
  </si>
  <si>
    <t>JINDALSTEL</t>
  </si>
  <si>
    <t>JKCEMENT</t>
  </si>
  <si>
    <t>JSWSTEEL</t>
  </si>
  <si>
    <t>JUBLFOOD</t>
  </si>
  <si>
    <t>KOTAKBANK</t>
  </si>
  <si>
    <t>L&amp;TFH</t>
  </si>
  <si>
    <t>LALPATHLAB</t>
  </si>
  <si>
    <t>LAURUSLABS</t>
  </si>
  <si>
    <t>LICHSGFIN</t>
  </si>
  <si>
    <t>LT</t>
  </si>
  <si>
    <t>LTTS</t>
  </si>
  <si>
    <t>LUPIN</t>
  </si>
  <si>
    <t>M&amp;M</t>
  </si>
  <si>
    <t>M&amp;MFIN</t>
  </si>
  <si>
    <t>MANAPPURAM</t>
  </si>
  <si>
    <t>MARICO</t>
  </si>
  <si>
    <t>MARUTI</t>
  </si>
  <si>
    <t>MCDOWELL-N</t>
  </si>
  <si>
    <t>MCX</t>
  </si>
  <si>
    <t>METROPOLIS</t>
  </si>
  <si>
    <t>MFSL</t>
  </si>
  <si>
    <t>MGL</t>
  </si>
  <si>
    <t>MIDCPNIFTY</t>
  </si>
  <si>
    <t>MOTHERSON</t>
  </si>
  <si>
    <t>MPHASIS</t>
  </si>
  <si>
    <t>MRF</t>
  </si>
  <si>
    <t>MUTHOOTFIN</t>
  </si>
  <si>
    <t>NATIONALUM</t>
  </si>
  <si>
    <t>NAUKRI</t>
  </si>
  <si>
    <t>NAVINFLUOR</t>
  </si>
  <si>
    <t>NESTLEIND</t>
  </si>
  <si>
    <t>NMDC</t>
  </si>
  <si>
    <t>NTPC</t>
  </si>
  <si>
    <t>OBEROIRLTY</t>
  </si>
  <si>
    <t>OFSS</t>
  </si>
  <si>
    <t>ONGC</t>
  </si>
  <si>
    <t>PAGEIND</t>
  </si>
  <si>
    <t>PEL</t>
  </si>
  <si>
    <t>PERSISTENT</t>
  </si>
  <si>
    <t>PETRONET</t>
  </si>
  <si>
    <t>PFC</t>
  </si>
  <si>
    <t>PIDILITIND</t>
  </si>
  <si>
    <t>PIIND</t>
  </si>
  <si>
    <t>PNB</t>
  </si>
  <si>
    <t>POLYCAB</t>
  </si>
  <si>
    <t>POWERGRID</t>
  </si>
  <si>
    <t>RAMCOCEM</t>
  </si>
  <si>
    <t>RBLBANK</t>
  </si>
  <si>
    <t>RECLTD</t>
  </si>
  <si>
    <t>RELIANCE</t>
  </si>
  <si>
    <t>SAIL</t>
  </si>
  <si>
    <t>SBICARD</t>
  </si>
  <si>
    <t>SBILIFE</t>
  </si>
  <si>
    <t>SBIN</t>
  </si>
  <si>
    <t>SHREECEM</t>
  </si>
  <si>
    <t>SIEMENS</t>
  </si>
  <si>
    <t>SRF</t>
  </si>
  <si>
    <t>SUNPHARMA</t>
  </si>
  <si>
    <t>SUNTV</t>
  </si>
  <si>
    <t>SYNGENE</t>
  </si>
  <si>
    <t>TATACHEM</t>
  </si>
  <si>
    <t>TATACOMM</t>
  </si>
  <si>
    <t>TATACONSUM</t>
  </si>
  <si>
    <t>TATAMOTORS</t>
  </si>
  <si>
    <t>TATAPOWER</t>
  </si>
  <si>
    <t>TATASTEEL</t>
  </si>
  <si>
    <t>TCS</t>
  </si>
  <si>
    <t>TECHM</t>
  </si>
  <si>
    <t>TITAN</t>
  </si>
  <si>
    <t>TORNTPHARM</t>
  </si>
  <si>
    <t>TRENT</t>
  </si>
  <si>
    <t>TVSMOTOR</t>
  </si>
  <si>
    <t>UBL</t>
  </si>
  <si>
    <t>ULTRACEMCO</t>
  </si>
  <si>
    <t>UPL</t>
  </si>
  <si>
    <t>VEDL</t>
  </si>
  <si>
    <t>VOLTAS</t>
  </si>
  <si>
    <t>WIPRO</t>
  </si>
  <si>
    <t>ZEEL</t>
  </si>
  <si>
    <t>ZYDUSLIFE</t>
  </si>
  <si>
    <t>Tool_Activation_code</t>
  </si>
  <si>
    <t>Youtube</t>
  </si>
  <si>
    <t>Telegram</t>
  </si>
  <si>
    <t>Disclaimer : This tool has developed for traders to place a order via excel, its only an order execution tool not a trade suggestion. Any profit/loss happened due to any reason (technical/coding/….) end user will be only responsible. Please confirm if you want to use this tool.</t>
  </si>
  <si>
    <t>please update your finvasia credential
UserID , password is mandatory.
Please provide Totp,Vendor_code,api_secret to generate new session or provide existing token for login tool
Tool activation code should be PythonTrader or provided by developer</t>
  </si>
  <si>
    <t>Existing Token</t>
  </si>
  <si>
    <t>LoginMethod</t>
  </si>
  <si>
    <t>Welcome To Python Trader</t>
  </si>
  <si>
    <t>Tool developed by PythonTrader, Please follow us on social media site for more tools or freelancing work</t>
  </si>
  <si>
    <t>https://www.youtube.com/@pythontraders</t>
  </si>
  <si>
    <t>https://www.t.me/pythontrader</t>
  </si>
  <si>
    <t>BUY/SELL</t>
  </si>
  <si>
    <t>Entry Done @</t>
  </si>
  <si>
    <t>Exit Done @</t>
  </si>
  <si>
    <t>Latest SL</t>
  </si>
  <si>
    <t>PnL</t>
  </si>
  <si>
    <t>Exposure M.</t>
  </si>
  <si>
    <t>SPAN M.</t>
  </si>
  <si>
    <t>PYTHON TRADER</t>
  </si>
  <si>
    <t>Order Type</t>
  </si>
  <si>
    <t>Overall PnL</t>
  </si>
  <si>
    <t>Total Cash</t>
  </si>
  <si>
    <t>Used Margin</t>
  </si>
  <si>
    <t>OverALL PnL</t>
  </si>
  <si>
    <t>KillSwitch</t>
  </si>
  <si>
    <t>Reconfirm (0/1)</t>
  </si>
  <si>
    <t>Help : Please select execute in dropdown and reconfirm if you want to close all open position, 
it will close all your open position. 
So be careful while selecting/setting this value</t>
  </si>
  <si>
    <t>Please modify the cell whose header has orange colors. Others details will be set by system only.</t>
  </si>
  <si>
    <t>I accept the all Terms and Condition</t>
  </si>
  <si>
    <t>UserInput</t>
  </si>
  <si>
    <t>Symbol==&gt;&gt;</t>
  </si>
  <si>
    <t>RefreshRate==&gt;&gt;</t>
  </si>
  <si>
    <t>NoOfStrike==&gt;&gt;</t>
  </si>
  <si>
    <t>Additional Detail</t>
  </si>
  <si>
    <t>CALLS</t>
  </si>
  <si>
    <t>PUTS</t>
  </si>
  <si>
    <t>Delta</t>
  </si>
  <si>
    <t>CHNG IN OI</t>
  </si>
  <si>
    <t>VOLUME</t>
  </si>
  <si>
    <t>IV</t>
  </si>
  <si>
    <t>CHNG</t>
  </si>
  <si>
    <t>BID QTY</t>
  </si>
  <si>
    <t>BID PRICE</t>
  </si>
  <si>
    <t>ASK PRICE</t>
  </si>
  <si>
    <t>ASK QTY</t>
  </si>
  <si>
    <t>LTIM</t>
  </si>
  <si>
    <t>SHRIRAMFIN</t>
  </si>
  <si>
    <t>Python Trader</t>
  </si>
  <si>
    <t>Gamma</t>
  </si>
  <si>
    <t>Theta</t>
  </si>
  <si>
    <t>Vega</t>
  </si>
  <si>
    <t>Rho</t>
  </si>
  <si>
    <t>STRIKE</t>
  </si>
  <si>
    <t>Expiry List</t>
  </si>
  <si>
    <t>Segment==&gt;&gt;</t>
  </si>
  <si>
    <t>NFO-OPT</t>
  </si>
  <si>
    <t>Expiry==&gt;&gt;</t>
  </si>
  <si>
    <t>ExpiryType==&gt;&gt;</t>
  </si>
  <si>
    <t>GreekMatch==&gt;&gt;</t>
  </si>
  <si>
    <t>NSE</t>
  </si>
  <si>
    <t>Call</t>
  </si>
  <si>
    <t>Put</t>
  </si>
  <si>
    <t>Near Future LTP</t>
  </si>
  <si>
    <t>Max Pain at Strike</t>
  </si>
  <si>
    <t>Ltp at Max Pain</t>
  </si>
  <si>
    <t>ATM Strike</t>
  </si>
  <si>
    <t>LTP at ATM</t>
  </si>
  <si>
    <t>Total OI</t>
  </si>
  <si>
    <t>Total OI Change</t>
  </si>
  <si>
    <t>Max OI</t>
  </si>
  <si>
    <t>Max OI at Strike</t>
  </si>
  <si>
    <t>LTP of Max OI Strike</t>
  </si>
  <si>
    <t>Max Change in OI addition</t>
  </si>
  <si>
    <t>Max OI addition at Srike</t>
  </si>
  <si>
    <t>LTP of Max OI addition Strike</t>
  </si>
  <si>
    <t>Max Change in OI unwinding</t>
  </si>
  <si>
    <t>Max OI unwinding at Srike</t>
  </si>
  <si>
    <t>LTP of Max OI unwinding Strike</t>
  </si>
  <si>
    <t>Trade Mode</t>
  </si>
  <si>
    <t>Entry Limit Price</t>
  </si>
  <si>
    <t>Entry Order ID</t>
  </si>
  <si>
    <t>Entry Remarks</t>
  </si>
  <si>
    <t>Exit Order ID</t>
  </si>
  <si>
    <t>Exit Remarks</t>
  </si>
  <si>
    <t>Trail Enable</t>
  </si>
  <si>
    <t>Telegram Token</t>
  </si>
  <si>
    <t>Telegram ID</t>
  </si>
  <si>
    <t>Sheet/Group Name</t>
  </si>
  <si>
    <t>Enable</t>
  </si>
  <si>
    <t>Trade_Terminal, Order_Book, OpenPosition,Holdings</t>
  </si>
  <si>
    <t>Recommended/Latest Youtube Video</t>
  </si>
  <si>
    <t>Telegram Notification</t>
  </si>
  <si>
    <t>Option_Chain_Input, Option_Chain_Output</t>
  </si>
  <si>
    <t>Option_Chain_pro_Input, Option_Chain_Pro_Output</t>
  </si>
  <si>
    <t>Voice Alert</t>
  </si>
  <si>
    <t>Latest Tool Developed by Python Trader</t>
  </si>
  <si>
    <t>User Action</t>
  </si>
  <si>
    <t>5821125243:AAGS4E7lIREHNGP-zAROhWbZtaRIenNUXud</t>
  </si>
  <si>
    <t>PVRINOX</t>
  </si>
  <si>
    <t>011NSETEST</t>
  </si>
  <si>
    <t>021NSETEST</t>
  </si>
  <si>
    <t>031NSETEST</t>
  </si>
  <si>
    <t>041NSETEST</t>
  </si>
  <si>
    <t>051NSETEST</t>
  </si>
  <si>
    <t>061NSETEST</t>
  </si>
  <si>
    <t>071NSETEST</t>
  </si>
  <si>
    <t>081NSETEST</t>
  </si>
  <si>
    <t>091NSETEST</t>
  </si>
  <si>
    <t>101NSETEST</t>
  </si>
  <si>
    <t>111NSETEST</t>
  </si>
  <si>
    <t>121NSETEST</t>
  </si>
  <si>
    <t>131NSETEST</t>
  </si>
  <si>
    <t>141NSETEST</t>
  </si>
  <si>
    <t>151NSETEST</t>
  </si>
  <si>
    <t>161NSETEST</t>
  </si>
  <si>
    <t xml:space="preserve">
Python Installation https://www.youtube.com/watch?v=3oF2_AGxQOg&amp;ab_channel=PythonTrader
Multiple Option Chain https://www.youtube.com/watch?v=73Fpjhj86xs&amp;t=9s&amp;ab_channel=PythonTrader
Zerodha enctoken Login https://www.youtube.com/watch?v=oxe9M7hY7pg&amp;ab_channel=PythonTrader
Finvasia Trade Terminal https://www.youtube.com/watch?v=mPLBCT_Cxbw
Zerodha Trade Terminal https://www.youtube.com/watch?v=2MgPtQijtCw
Python Backtesting https://www.youtube.com/watch?v=_UN9sGeoeI4&amp;ab_channel=PythonTrader</t>
  </si>
  <si>
    <t xml:space="preserve">
Copy Trading tool (no paid api required) : Zerodha : 50 / user / month : https://youtu.be/tmrpKoTgH1I
Copy Trading tool : Finvasia : 50 / user / month : https://youtu.be/Pck2SDA9ao0
Bulk Order Slicing tool : Zerodha : 999 / year : https://youtu.be/ayOOtN_7CSE
Bulk Order Slicing tool : Finvasia : 999 / year : https://youtu.be/k-q_UnvUhNw
Multiple option chain : Zerodha : Free : https://www.youtube.com/watch?v=73Fpjhj86xs&amp;t=9s
Unlimited option chain generator into excel / gsheet : Zerodha : Free : https://youtu.be/73Fpjhj86xs
GTT order placement for finvasia : Finvasia : Free : https://youtu.be/3XW0OHj2_Ic
Investment (Grid trading) : Finvasia &amp; Zerodha : 10000 one time : nan
Rolling Straddle (option selling) : Finvasia : 5000 one time : nan
Excel Based Trade Terminal : Finvasia : Free : https://www.youtube.com/watch?v=mPLBCT_Cxbw
Excel Based Trade Terminal : Zerodha : Free : https://www.youtube.com/watch?v=2MgPtQijtCw
BOC 145 : Finvasia : Free : nan
BOC 200x : Finvasia : Free : https://www.youtube.com/watch?v=znsYASftZ88</t>
  </si>
  <si>
    <t>NRML</t>
  </si>
  <si>
    <t>Target time</t>
  </si>
  <si>
    <t>Closet Premium</t>
  </si>
  <si>
    <t>Stoploss %</t>
  </si>
  <si>
    <t>WEEKLY</t>
  </si>
  <si>
    <t>NSE:NIFTY MID SELECT</t>
  </si>
  <si>
    <t>BSE: IDFSENSEXE</t>
  </si>
  <si>
    <t>sr</t>
  </si>
  <si>
    <t>nsecode</t>
  </si>
  <si>
    <t>name</t>
  </si>
  <si>
    <t>bsecode</t>
  </si>
  <si>
    <t>per_chg</t>
  </si>
  <si>
    <t>close</t>
  </si>
  <si>
    <t>volume</t>
  </si>
  <si>
    <t>FORTIS</t>
  </si>
  <si>
    <t>Call LTP search</t>
  </si>
  <si>
    <t>Put LTP search</t>
  </si>
  <si>
    <t>Call Delta search</t>
  </si>
  <si>
    <t>Put Delta search</t>
  </si>
  <si>
    <t>171NSETEST</t>
  </si>
  <si>
    <t>181NSETEST</t>
  </si>
  <si>
    <t>LTF</t>
  </si>
  <si>
    <t>UNITDSPR</t>
  </si>
  <si>
    <t>NIFTYNXT50</t>
  </si>
  <si>
    <t>ADANIENSOL</t>
  </si>
  <si>
    <t>ADANIGREEN</t>
  </si>
  <si>
    <t>ANGELONE</t>
  </si>
  <si>
    <t>APLAPOLLO</t>
  </si>
  <si>
    <t>BANKINDIA</t>
  </si>
  <si>
    <t>BSE</t>
  </si>
  <si>
    <t>CAMS</t>
  </si>
  <si>
    <t>CDSL</t>
  </si>
  <si>
    <t>CGPOWER</t>
  </si>
  <si>
    <t>CYIENT</t>
  </si>
  <si>
    <t>DELHIVERY</t>
  </si>
  <si>
    <t>DMART</t>
  </si>
  <si>
    <t>ETERNAL</t>
  </si>
  <si>
    <t>GMRAIRPORT</t>
  </si>
  <si>
    <t>HFCL</t>
  </si>
  <si>
    <t>HINDZINC</t>
  </si>
  <si>
    <t>HUDCO</t>
  </si>
  <si>
    <t>IIFL</t>
  </si>
  <si>
    <t>INDIANB</t>
  </si>
  <si>
    <t>INOXWIND</t>
  </si>
  <si>
    <t>IREDA</t>
  </si>
  <si>
    <t>IRFC</t>
  </si>
  <si>
    <t>JIOFIN</t>
  </si>
  <si>
    <t>JSWENERGY</t>
  </si>
  <si>
    <t>KALYANKJIL</t>
  </si>
  <si>
    <t>KEI</t>
  </si>
  <si>
    <t>KPITTECH</t>
  </si>
  <si>
    <t>LICI</t>
  </si>
  <si>
    <t>LODHA</t>
  </si>
  <si>
    <t>MAXHEALTH</t>
  </si>
  <si>
    <t>NBCC</t>
  </si>
  <si>
    <t>NCC</t>
  </si>
  <si>
    <t>NHPC</t>
  </si>
  <si>
    <t>NYKAA</t>
  </si>
  <si>
    <t>OIL</t>
  </si>
  <si>
    <t>PATANJALI</t>
  </si>
  <si>
    <t>PAYTM</t>
  </si>
  <si>
    <t>PHOENIXLTD</t>
  </si>
  <si>
    <t>PNBHOUSING</t>
  </si>
  <si>
    <t>POLICYBZR</t>
  </si>
  <si>
    <t>PRESTIGE</t>
  </si>
  <si>
    <t>SOLARINDS</t>
  </si>
  <si>
    <t>SONACOMS</t>
  </si>
  <si>
    <t>SUPREMEIND</t>
  </si>
  <si>
    <t>TATAELXSI</t>
  </si>
  <si>
    <t>TATATECH</t>
  </si>
  <si>
    <t>TIINDIA</t>
  </si>
  <si>
    <t>TITAGARH</t>
  </si>
  <si>
    <t>TORNTPOWER</t>
  </si>
  <si>
    <t>UNIONBANK</t>
  </si>
  <si>
    <t>VBL</t>
  </si>
  <si>
    <t>YESBANK</t>
  </si>
  <si>
    <t>Paper</t>
  </si>
  <si>
    <t>BDL</t>
  </si>
  <si>
    <t>BLUESTARCO</t>
  </si>
  <si>
    <t>KAYNES</t>
  </si>
  <si>
    <t>MANKIND</t>
  </si>
  <si>
    <t>MAZDOCK</t>
  </si>
  <si>
    <t>PPLPHARMA</t>
  </si>
  <si>
    <t>RVNL</t>
  </si>
  <si>
    <t>UNOMINDA</t>
  </si>
  <si>
    <t>360ONE</t>
  </si>
  <si>
    <t>AMBER</t>
  </si>
  <si>
    <t>KFINTECH</t>
  </si>
  <si>
    <t>PGEL</t>
  </si>
  <si>
    <t>NUVAMA</t>
  </si>
  <si>
    <t>SUZLON</t>
  </si>
  <si>
    <t>NFO: 26400 FINNIFTY</t>
  </si>
  <si>
    <t>BSE:SENSEX50</t>
  </si>
  <si>
    <t>BSE:BANKEX</t>
  </si>
  <si>
    <t>BSE:SENSEX1</t>
  </si>
  <si>
    <t>BCG</t>
  </si>
  <si>
    <t>Brightcom Group Ltd</t>
  </si>
  <si>
    <t>RPOWER</t>
  </si>
  <si>
    <t>Reliance Power Limited</t>
  </si>
  <si>
    <t>GMR Airports Ltd</t>
  </si>
  <si>
    <t>Indian Oil Corporation Limited</t>
  </si>
  <si>
    <t>Reliance Industries Limited</t>
  </si>
  <si>
    <t>TRIDENT</t>
  </si>
  <si>
    <t>Trident Limited</t>
  </si>
  <si>
    <t>Hcl Technologies Limited</t>
  </si>
  <si>
    <t>CLEAN</t>
  </si>
  <si>
    <t>Clean Science &amp; Technology Ltd</t>
  </si>
  <si>
    <t>The Indian Hotels Company Limited</t>
  </si>
  <si>
    <t>FINPIPE</t>
  </si>
  <si>
    <t>Finolex Industries Limited</t>
  </si>
  <si>
    <t>SAMMAANCAP</t>
  </si>
  <si>
    <t>BFO:SENSEX25SEP81000PE</t>
  </si>
  <si>
    <t>BFO:SENSEX25SEP81000CE</t>
  </si>
  <si>
    <t>NFO: NIFTY30SEP25C25000</t>
  </si>
  <si>
    <t>NFO: NIFTY30SEP25P25000</t>
  </si>
  <si>
    <t>NFO: BANKNIFTY30SEP25C54000</t>
  </si>
  <si>
    <t>NFO: BANKNIFTY30SEP25P56000</t>
  </si>
  <si>
    <t>NFO: MIDCPNIFTY30SEP25C13000</t>
  </si>
  <si>
    <t>NFO: MIDCPNIFTY30SEP25P13000</t>
  </si>
  <si>
    <t>NFO: FINNIFTY30SEP25C26800</t>
  </si>
  <si>
    <t>NFO: FINNIFTY30SEP25P26800</t>
  </si>
  <si>
    <t>Secret ID</t>
  </si>
  <si>
    <t>oauth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</si>
</sst>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 * #,##0.00_ ;_ * \-#,##0.00_ ;_ * &quot;-&quot;??_ ;_ @_ "/>
    <numFmt numFmtId="164" formatCode="&quot;₹&quot;\ #,##0.00"/>
    <numFmt numFmtId="165" formatCode="hh\:mm\:ss"/>
    <numFmt numFmtId="166" formatCode="_ * #,##0_ ;_ * \-#,##0_ ;_ * &quot;-&quot;??_ ;_ @_ "/>
  </numFmts>
  <fonts count="23" x14ac:knownFonts="1">
    <font>
      <sz val="11"/>
      <color theme="1"/>
      <name val="Calibri"/>
      <family val="2"/>
      <scheme val="minor"/>
    </font>
    <font>
      <b/>
      <sz val="20"/>
      <color theme="0"/>
      <name val="Bodoni MT"/>
      <family val="1"/>
    </font>
    <font>
      <b/>
      <sz val="11"/>
      <color rgb="FF222222"/>
      <name val="Arial"/>
      <family val="2"/>
    </font>
    <font>
      <sz val="11"/>
      <color theme="1"/>
      <name val="Arial"/>
      <family val="2"/>
    </font>
    <font>
      <sz val="11"/>
      <color rgb="FF212226"/>
      <name val="Arial"/>
      <family val="2"/>
    </font>
    <font>
      <u/>
      <sz val="11"/>
      <color theme="10"/>
      <name val="Calibri"/>
      <family val="2"/>
    </font>
    <font>
      <b/>
      <sz val="11"/>
      <color rgb="FFFF0000"/>
      <name val="Arial"/>
      <family val="2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5"/>
      <color rgb="FF3F3F3F"/>
      <name val="Calibri"/>
      <family val="2"/>
      <scheme val="minor"/>
    </font>
    <font>
      <b/>
      <sz val="2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3F3F3F"/>
      <name val="Calibri"/>
      <family val="2"/>
      <scheme val="minor"/>
    </font>
    <font>
      <sz val="7"/>
      <color rgb="FFFFFFFF"/>
      <name val="Roboto"/>
    </font>
    <font>
      <sz val="11"/>
      <color rgb="FFFF0000"/>
      <name val="Roboto"/>
    </font>
    <font>
      <sz val="12"/>
      <color rgb="FF222222"/>
      <name val="Arial"/>
      <family val="2"/>
    </font>
    <font>
      <sz val="12"/>
      <color theme="1"/>
      <name val="Calibri"/>
      <family val="2"/>
      <scheme val="minor"/>
    </font>
    <font>
      <sz val="10"/>
      <color rgb="FF1E1E1E"/>
      <name val="Segoe UI"/>
      <family val="2"/>
    </font>
    <font>
      <sz val="12"/>
      <color theme="1"/>
      <name val="Trebuchet MS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E84C6"/>
        <bgColor indexed="64"/>
      </patternFill>
    </fill>
    <fill>
      <patternFill patternType="solid">
        <fgColor rgb="FFDCD620"/>
        <bgColor indexed="64"/>
      </patternFill>
    </fill>
    <fill>
      <patternFill patternType="solid">
        <fgColor rgb="FF76E018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FFFF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3A2D7D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3F3F3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rgb="FFE3E3E3"/>
      </right>
      <top/>
      <bottom/>
      <diagonal/>
    </border>
    <border>
      <left style="medium">
        <color rgb="FFE3E3E3"/>
      </left>
      <right style="medium">
        <color rgb="FFE3E3E3"/>
      </right>
      <top style="medium">
        <color rgb="FFE3E3E3"/>
      </top>
      <bottom/>
      <diagonal/>
    </border>
    <border>
      <left/>
      <right style="medium">
        <color rgb="FFE3E3E3"/>
      </right>
      <top style="medium">
        <color rgb="FFE3E3E3"/>
      </top>
      <bottom/>
      <diagonal/>
    </border>
  </borders>
  <cellStyleXfs count="6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8" fillId="11" borderId="3" applyNumberFormat="0" applyAlignment="0" applyProtection="0"/>
    <xf numFmtId="0" fontId="7" fillId="12" borderId="4" applyNumberFormat="0" applyFont="0" applyAlignment="0" applyProtection="0"/>
    <xf numFmtId="0" fontId="19" fillId="0" borderId="0"/>
    <xf numFmtId="43" fontId="7" fillId="0" borderId="0" applyFont="0" applyFill="0" applyBorder="0" applyAlignment="0" applyProtection="0"/>
  </cellStyleXfs>
  <cellXfs count="89">
    <xf numFmtId="0" fontId="0" fillId="0" borderId="0" xfId="0"/>
    <xf numFmtId="49" fontId="0" fillId="2" borderId="0" xfId="0" applyNumberFormat="1" applyFill="1"/>
    <xf numFmtId="49" fontId="0" fillId="0" borderId="0" xfId="0" applyNumberFormat="1"/>
    <xf numFmtId="0" fontId="5" fillId="6" borderId="0" xfId="1" applyFill="1" applyBorder="1" applyAlignment="1" applyProtection="1">
      <alignment horizontal="center"/>
    </xf>
    <xf numFmtId="49" fontId="0" fillId="3" borderId="0" xfId="0" applyNumberFormat="1" applyFill="1" applyAlignment="1">
      <alignment vertical="top" wrapText="1"/>
    </xf>
    <xf numFmtId="0" fontId="3" fillId="9" borderId="0" xfId="0" applyFont="1" applyFill="1"/>
    <xf numFmtId="1" fontId="0" fillId="9" borderId="0" xfId="0" applyNumberFormat="1" applyFill="1"/>
    <xf numFmtId="0" fontId="4" fillId="9" borderId="0" xfId="0" applyFont="1" applyFill="1"/>
    <xf numFmtId="49" fontId="0" fillId="10" borderId="0" xfId="0" applyNumberFormat="1" applyFill="1"/>
    <xf numFmtId="49" fontId="9" fillId="3" borderId="2" xfId="0" applyNumberFormat="1" applyFont="1" applyFill="1" applyBorder="1" applyAlignment="1">
      <alignment horizontal="center" vertical="center" wrapText="1"/>
    </xf>
    <xf numFmtId="49" fontId="9" fillId="2" borderId="2" xfId="0" applyNumberFormat="1" applyFont="1" applyFill="1" applyBorder="1" applyAlignment="1">
      <alignment horizontal="center" vertical="center" wrapText="1"/>
    </xf>
    <xf numFmtId="0" fontId="10" fillId="11" borderId="2" xfId="2" applyFont="1" applyBorder="1" applyAlignment="1">
      <alignment horizontal="center" vertical="center" wrapText="1"/>
    </xf>
    <xf numFmtId="0" fontId="10" fillId="11" borderId="2" xfId="2" applyFont="1" applyBorder="1" applyAlignment="1">
      <alignment horizontal="center" vertical="center"/>
    </xf>
    <xf numFmtId="0" fontId="8" fillId="11" borderId="2" xfId="2" applyBorder="1" applyAlignment="1">
      <alignment horizontal="center" vertical="center"/>
    </xf>
    <xf numFmtId="164" fontId="10" fillId="13" borderId="7" xfId="2" applyNumberFormat="1" applyFont="1" applyFill="1" applyBorder="1" applyAlignment="1" applyProtection="1">
      <alignment horizontal="center" vertical="center"/>
    </xf>
    <xf numFmtId="164" fontId="10" fillId="11" borderId="7" xfId="2" applyNumberFormat="1" applyFont="1" applyBorder="1" applyAlignment="1" applyProtection="1">
      <alignment horizontal="center" vertical="center"/>
    </xf>
    <xf numFmtId="0" fontId="12" fillId="14" borderId="0" xfId="0" applyFont="1" applyFill="1" applyAlignment="1">
      <alignment horizontal="center" vertical="center"/>
    </xf>
    <xf numFmtId="0" fontId="13" fillId="11" borderId="2" xfId="2" applyFont="1" applyBorder="1" applyAlignment="1">
      <alignment horizontal="center" vertical="center"/>
    </xf>
    <xf numFmtId="0" fontId="13" fillId="11" borderId="2" xfId="2" applyFont="1" applyBorder="1" applyAlignment="1">
      <alignment horizontal="center" vertical="center" wrapText="1"/>
    </xf>
    <xf numFmtId="164" fontId="10" fillId="10" borderId="7" xfId="2" applyNumberFormat="1" applyFont="1" applyFill="1" applyBorder="1" applyAlignment="1" applyProtection="1">
      <alignment horizontal="center" vertical="center"/>
    </xf>
    <xf numFmtId="0" fontId="0" fillId="16" borderId="0" xfId="0" applyFill="1" applyAlignment="1">
      <alignment horizontal="center" vertical="center"/>
    </xf>
    <xf numFmtId="14" fontId="0" fillId="0" borderId="0" xfId="0" applyNumberFormat="1"/>
    <xf numFmtId="0" fontId="14" fillId="18" borderId="11" xfId="0" applyFont="1" applyFill="1" applyBorder="1" applyAlignment="1">
      <alignment horizontal="center" vertical="center" wrapText="1"/>
    </xf>
    <xf numFmtId="0" fontId="4" fillId="0" borderId="0" xfId="0" applyFont="1"/>
    <xf numFmtId="0" fontId="14" fillId="18" borderId="0" xfId="0" applyFont="1" applyFill="1" applyAlignment="1">
      <alignment horizontal="center" vertical="center" wrapText="1"/>
    </xf>
    <xf numFmtId="0" fontId="15" fillId="20" borderId="0" xfId="0" applyFont="1" applyFill="1" applyAlignment="1">
      <alignment horizontal="center" vertical="center" wrapText="1"/>
    </xf>
    <xf numFmtId="0" fontId="14" fillId="18" borderId="12" xfId="0" applyFont="1" applyFill="1" applyBorder="1" applyAlignment="1">
      <alignment horizontal="center" vertical="center" wrapText="1"/>
    </xf>
    <xf numFmtId="0" fontId="14" fillId="18" borderId="13" xfId="0" applyFont="1" applyFill="1" applyBorder="1" applyAlignment="1">
      <alignment horizontal="center" vertical="center" wrapText="1"/>
    </xf>
    <xf numFmtId="0" fontId="0" fillId="13" borderId="2" xfId="0" applyFill="1" applyBorder="1"/>
    <xf numFmtId="0" fontId="0" fillId="5" borderId="2" xfId="0" applyFill="1" applyBorder="1"/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14" fontId="0" fillId="3" borderId="0" xfId="0" applyNumberFormat="1" applyFill="1" applyAlignment="1">
      <alignment horizontal="center" vertical="center" wrapText="1"/>
    </xf>
    <xf numFmtId="0" fontId="0" fillId="0" borderId="2" xfId="0" applyBorder="1"/>
    <xf numFmtId="0" fontId="0" fillId="10" borderId="2" xfId="0" applyFill="1" applyBorder="1"/>
    <xf numFmtId="0" fontId="0" fillId="21" borderId="2" xfId="0" applyFill="1" applyBorder="1"/>
    <xf numFmtId="0" fontId="0" fillId="0" borderId="2" xfId="0" applyBorder="1" applyAlignment="1">
      <alignment horizontal="center" vertical="center"/>
    </xf>
    <xf numFmtId="0" fontId="0" fillId="13" borderId="0" xfId="0" applyFill="1"/>
    <xf numFmtId="49" fontId="0" fillId="2" borderId="2" xfId="0" applyNumberFormat="1" applyFill="1" applyBorder="1"/>
    <xf numFmtId="0" fontId="0" fillId="9" borderId="2" xfId="0" applyFill="1" applyBorder="1"/>
    <xf numFmtId="0" fontId="0" fillId="3" borderId="2" xfId="0" applyFill="1" applyBorder="1"/>
    <xf numFmtId="165" fontId="0" fillId="0" borderId="0" xfId="0" applyNumberFormat="1"/>
    <xf numFmtId="18" fontId="18" fillId="0" borderId="0" xfId="0" applyNumberFormat="1" applyFont="1"/>
    <xf numFmtId="166" fontId="0" fillId="0" borderId="2" xfId="5" applyNumberFormat="1" applyFont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49" fontId="0" fillId="0" borderId="0" xfId="0" applyNumberFormat="1"/>
    <xf numFmtId="1" fontId="0" fillId="3" borderId="0" xfId="0" applyNumberFormat="1" applyFill="1"/>
    <xf numFmtId="0" fontId="2" fillId="8" borderId="0" xfId="0" applyFont="1" applyFill="1"/>
    <xf numFmtId="0" fontId="6" fillId="10" borderId="0" xfId="0" applyFont="1" applyFill="1"/>
    <xf numFmtId="0" fontId="4" fillId="0" borderId="0" xfId="0" applyFont="1"/>
    <xf numFmtId="0" fontId="3" fillId="0" borderId="0" xfId="0" applyFont="1"/>
    <xf numFmtId="0" fontId="16" fillId="0" borderId="0" xfId="0" applyFont="1"/>
    <xf numFmtId="0" fontId="5" fillId="8" borderId="0" xfId="1" applyFill="1" applyAlignment="1" applyProtection="1"/>
    <xf numFmtId="0" fontId="0" fillId="0" borderId="0" xfId="0"/>
    <xf numFmtId="0" fontId="0" fillId="0" borderId="0" xfId="0"/>
    <xf numFmtId="0" fontId="20" fillId="0" borderId="0" xfId="0" applyFont="1"/>
    <xf numFmtId="0" fontId="0" fillId="20" borderId="0" xfId="0" applyFill="1" applyAlignment="1">
      <alignment horizontal="center" vertical="center"/>
    </xf>
    <xf numFmtId="49" fontId="21" fillId="3" borderId="2" xfId="0" applyNumberFormat="1" applyFont="1" applyFill="1" applyBorder="1" applyAlignment="1">
      <alignment horizontal="center" vertical="center" wrapText="1"/>
    </xf>
    <xf numFmtId="49" fontId="22" fillId="3" borderId="2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20" fillId="0" borderId="0" xfId="0" applyFont="1" applyBorder="1"/>
    <xf numFmtId="0" fontId="0" fillId="13" borderId="0" xfId="0" applyFill="1" applyBorder="1"/>
    <xf numFmtId="0" fontId="1" fillId="5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49" fontId="0" fillId="7" borderId="0" xfId="0" applyNumberFormat="1" applyFill="1" applyAlignment="1">
      <alignment horizontal="center" vertical="center" wrapText="1"/>
    </xf>
    <xf numFmtId="49" fontId="0" fillId="20" borderId="0" xfId="0" applyNumberFormat="1" applyFill="1" applyAlignment="1">
      <alignment horizontal="center" vertical="center" wrapText="1"/>
    </xf>
    <xf numFmtId="49" fontId="0" fillId="3" borderId="0" xfId="0" applyNumberFormat="1" applyFill="1" applyAlignment="1">
      <alignment horizontal="left" vertical="top" wrapText="1"/>
    </xf>
    <xf numFmtId="0" fontId="0" fillId="5" borderId="0" xfId="0" applyFill="1" applyAlignment="1">
      <alignment horizontal="center" vertical="center" wrapText="1"/>
    </xf>
    <xf numFmtId="0" fontId="0" fillId="7" borderId="0" xfId="0" applyFill="1" applyAlignment="1">
      <alignment horizontal="left"/>
    </xf>
    <xf numFmtId="0" fontId="0" fillId="5" borderId="0" xfId="0" applyFill="1" applyAlignment="1">
      <alignment horizontal="left" vertical="center" wrapText="1"/>
    </xf>
    <xf numFmtId="0" fontId="17" fillId="5" borderId="0" xfId="0" applyFont="1" applyFill="1" applyAlignment="1">
      <alignment horizontal="left" vertical="top" wrapText="1"/>
    </xf>
    <xf numFmtId="0" fontId="17" fillId="9" borderId="0" xfId="0" applyFont="1" applyFill="1" applyAlignment="1">
      <alignment horizontal="left" vertical="top" wrapText="1"/>
    </xf>
    <xf numFmtId="0" fontId="11" fillId="5" borderId="5" xfId="3" applyFont="1" applyFill="1" applyBorder="1" applyAlignment="1" applyProtection="1">
      <alignment horizontal="center" vertical="center"/>
    </xf>
    <xf numFmtId="0" fontId="11" fillId="12" borderId="0" xfId="3" applyFont="1" applyBorder="1" applyAlignment="1" applyProtection="1">
      <alignment horizontal="center" vertical="center"/>
    </xf>
    <xf numFmtId="0" fontId="11" fillId="12" borderId="6" xfId="3" applyFont="1" applyBorder="1" applyAlignment="1" applyProtection="1">
      <alignment horizontal="center" vertical="center"/>
    </xf>
    <xf numFmtId="0" fontId="11" fillId="12" borderId="5" xfId="3" applyFont="1" applyBorder="1" applyAlignment="1" applyProtection="1">
      <alignment horizontal="center" vertical="center"/>
    </xf>
    <xf numFmtId="49" fontId="9" fillId="3" borderId="5" xfId="0" applyNumberFormat="1" applyFont="1" applyFill="1" applyBorder="1" applyAlignment="1">
      <alignment horizontal="center" vertical="center" wrapText="1"/>
    </xf>
    <xf numFmtId="49" fontId="9" fillId="3" borderId="0" xfId="0" applyNumberFormat="1" applyFont="1" applyFill="1" applyAlignment="1">
      <alignment horizontal="center" vertical="center" wrapText="1"/>
    </xf>
    <xf numFmtId="49" fontId="9" fillId="3" borderId="10" xfId="0" applyNumberFormat="1" applyFont="1" applyFill="1" applyBorder="1" applyAlignment="1">
      <alignment horizontal="center" vertical="center" wrapText="1"/>
    </xf>
    <xf numFmtId="49" fontId="9" fillId="3" borderId="8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49" fontId="9" fillId="3" borderId="9" xfId="0" applyNumberFormat="1" applyFont="1" applyFill="1" applyBorder="1" applyAlignment="1">
      <alignment horizontal="center" vertical="center" wrapText="1"/>
    </xf>
    <xf numFmtId="0" fontId="0" fillId="15" borderId="0" xfId="0" applyFill="1" applyAlignment="1">
      <alignment horizontal="left" vertical="top" wrapText="1"/>
    </xf>
    <xf numFmtId="0" fontId="0" fillId="0" borderId="2" xfId="0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2" xfId="0" applyFill="1" applyBorder="1" applyAlignment="1">
      <alignment horizontal="center"/>
    </xf>
    <xf numFmtId="0" fontId="15" fillId="19" borderId="0" xfId="0" applyFont="1" applyFill="1" applyAlignment="1">
      <alignment horizontal="center" vertical="center" wrapText="1"/>
    </xf>
  </cellXfs>
  <cellStyles count="6">
    <cellStyle name="Comma" xfId="5" builtinId="3"/>
    <cellStyle name="Hyperlink" xfId="1" builtinId="8"/>
    <cellStyle name="Normal" xfId="0" builtinId="0"/>
    <cellStyle name="Normal 2" xfId="4" xr:uid="{FD47769A-A477-4BB3-B0DC-E62B931B32B4}"/>
    <cellStyle name="Note" xfId="3" builtinId="10"/>
    <cellStyle name="Output" xfId="2" builtinId="21"/>
  </cellStyles>
  <dxfs count="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2242</xdr:colOff>
      <xdr:row>0</xdr:row>
      <xdr:rowOff>58270</xdr:rowOff>
    </xdr:from>
    <xdr:to>
      <xdr:col>20</xdr:col>
      <xdr:colOff>1019736</xdr:colOff>
      <xdr:row>1</xdr:row>
      <xdr:rowOff>190500</xdr:rowOff>
    </xdr:to>
    <xdr:sp macro="[0]!ScheduleMacroExecu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5EB4439-D12C-6C95-D1FC-DF7DD0D33D39}"/>
            </a:ext>
          </a:extLst>
        </xdr:cNvPr>
        <xdr:cNvSpPr/>
      </xdr:nvSpPr>
      <xdr:spPr>
        <a:xfrm>
          <a:off x="8305801" y="58270"/>
          <a:ext cx="1835523" cy="37875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Run Micro at 09:45AM</a:t>
          </a:r>
          <a:endParaRPr lang="en-IN" sz="16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22</xdr:col>
      <xdr:colOff>39703</xdr:colOff>
      <xdr:row>0</xdr:row>
      <xdr:rowOff>62753</xdr:rowOff>
    </xdr:from>
    <xdr:to>
      <xdr:col>23</xdr:col>
      <xdr:colOff>437030</xdr:colOff>
      <xdr:row>1</xdr:row>
      <xdr:rowOff>190500</xdr:rowOff>
    </xdr:to>
    <xdr:sp macro="[0]!Buy_hedge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23B09E7-C8F0-4E12-8496-486CD1928932}"/>
            </a:ext>
          </a:extLst>
        </xdr:cNvPr>
        <xdr:cNvSpPr/>
      </xdr:nvSpPr>
      <xdr:spPr>
        <a:xfrm>
          <a:off x="10954232" y="62753"/>
          <a:ext cx="946416" cy="374276"/>
        </a:xfrm>
        <a:prstGeom prst="roundRect">
          <a:avLst/>
        </a:prstGeom>
        <a:solidFill>
          <a:srgbClr val="4F81BD"/>
        </a:solidFill>
        <a:ln w="25400" cap="flat" cmpd="sng" algn="ctr">
          <a:solidFill>
            <a:srgbClr val="4F81BD">
              <a:shade val="15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N" sz="1200" b="0" i="0" u="none" strike="noStrike" kern="0" cap="none" spc="0" normalizeH="0" baseline="0" noProof="0">
              <a:ln w="0"/>
              <a:solidFill>
                <a:sysClr val="window" lastClr="FFFFFF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/>
              <a:ea typeface="+mn-ea"/>
              <a:cs typeface="+mn-cs"/>
            </a:rPr>
            <a:t>Buy HEdges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1"/>
  <sheetViews>
    <sheetView tabSelected="1" zoomScale="85" zoomScaleNormal="85" workbookViewId="0">
      <selection activeCell="E17" sqref="E17"/>
    </sheetView>
  </sheetViews>
  <sheetFormatPr defaultRowHeight="15" x14ac:dyDescent="0.25"/>
  <cols>
    <col min="1" max="1" width="45.7109375" bestFit="1" customWidth="1"/>
    <col min="2" max="2" width="44.28515625" customWidth="1"/>
    <col min="3" max="3" width="69.28515625" customWidth="1"/>
    <col min="5" max="5" width="41.140625" bestFit="1" customWidth="1"/>
  </cols>
  <sheetData>
    <row r="1" spans="1:5" ht="26.25" x14ac:dyDescent="0.4">
      <c r="A1" s="62" t="s">
        <v>223</v>
      </c>
      <c r="B1" s="63"/>
      <c r="C1" s="63"/>
    </row>
    <row r="2" spans="1:5" x14ac:dyDescent="0.25">
      <c r="A2" s="1" t="s">
        <v>0</v>
      </c>
      <c r="B2" s="47"/>
      <c r="C2" s="66"/>
    </row>
    <row r="3" spans="1:5" x14ac:dyDescent="0.25">
      <c r="A3" s="1" t="s">
        <v>1</v>
      </c>
      <c r="B3" s="52"/>
      <c r="C3" s="67"/>
    </row>
    <row r="4" spans="1:5" x14ac:dyDescent="0.25">
      <c r="A4" s="8" t="s">
        <v>222</v>
      </c>
      <c r="B4" s="48"/>
      <c r="C4" s="67"/>
    </row>
    <row r="5" spans="1:5" x14ac:dyDescent="0.25">
      <c r="A5" s="1" t="s">
        <v>2</v>
      </c>
      <c r="B5" s="50"/>
      <c r="C5" s="67"/>
      <c r="E5" s="5"/>
    </row>
    <row r="6" spans="1:5" x14ac:dyDescent="0.25">
      <c r="A6" s="1" t="s">
        <v>3</v>
      </c>
      <c r="B6" s="47"/>
      <c r="C6" s="1"/>
      <c r="E6" s="6"/>
    </row>
    <row r="7" spans="1:5" x14ac:dyDescent="0.25">
      <c r="A7" s="1" t="s">
        <v>4</v>
      </c>
      <c r="B7" s="49"/>
      <c r="C7" s="1"/>
      <c r="E7" s="7"/>
    </row>
    <row r="8" spans="1:5" ht="15.75" x14ac:dyDescent="0.25">
      <c r="A8" s="1" t="s">
        <v>221</v>
      </c>
      <c r="B8" s="51"/>
      <c r="C8" s="23"/>
      <c r="E8" s="8"/>
    </row>
    <row r="9" spans="1:5" x14ac:dyDescent="0.25">
      <c r="A9" s="1" t="s">
        <v>216</v>
      </c>
      <c r="B9" s="46"/>
      <c r="C9" s="23"/>
    </row>
    <row r="10" spans="1:5" x14ac:dyDescent="0.25">
      <c r="A10" s="38" t="s">
        <v>301</v>
      </c>
      <c r="B10" s="45"/>
      <c r="C10" s="2"/>
    </row>
    <row r="11" spans="1:5" x14ac:dyDescent="0.25">
      <c r="A11" s="38" t="s">
        <v>302</v>
      </c>
      <c r="B11" s="54"/>
    </row>
    <row r="12" spans="1:5" s="54" customFormat="1" x14ac:dyDescent="0.25">
      <c r="A12" s="54" t="s">
        <v>454</v>
      </c>
    </row>
    <row r="13" spans="1:5" s="54" customFormat="1" x14ac:dyDescent="0.25">
      <c r="A13" s="54" t="s">
        <v>455</v>
      </c>
    </row>
    <row r="14" spans="1:5" ht="84" customHeight="1" x14ac:dyDescent="0.25">
      <c r="A14" s="68" t="s">
        <v>220</v>
      </c>
      <c r="B14" s="68"/>
      <c r="C14" s="68"/>
    </row>
    <row r="16" spans="1:5" x14ac:dyDescent="0.25">
      <c r="A16" s="64" t="s">
        <v>224</v>
      </c>
      <c r="B16" s="65"/>
      <c r="C16" s="2"/>
    </row>
    <row r="17" spans="1:9" x14ac:dyDescent="0.25">
      <c r="A17" s="1" t="s">
        <v>217</v>
      </c>
      <c r="B17" s="3" t="s">
        <v>225</v>
      </c>
      <c r="C17" t="s">
        <v>313</v>
      </c>
    </row>
    <row r="18" spans="1:9" x14ac:dyDescent="0.25">
      <c r="A18" s="1" t="s">
        <v>218</v>
      </c>
      <c r="B18" s="3" t="s">
        <v>226</v>
      </c>
    </row>
    <row r="20" spans="1:9" ht="37.15" customHeight="1" x14ac:dyDescent="0.25">
      <c r="A20" s="69" t="s">
        <v>219</v>
      </c>
      <c r="B20" s="69"/>
      <c r="C20" s="69"/>
    </row>
    <row r="21" spans="1:9" x14ac:dyDescent="0.25">
      <c r="B21" s="4" t="s">
        <v>244</v>
      </c>
    </row>
    <row r="22" spans="1:9" x14ac:dyDescent="0.25">
      <c r="F22" s="47"/>
      <c r="I22" s="47"/>
    </row>
    <row r="23" spans="1:9" x14ac:dyDescent="0.25">
      <c r="F23" s="52"/>
      <c r="I23" s="52"/>
    </row>
    <row r="24" spans="1:9" x14ac:dyDescent="0.25">
      <c r="F24" s="48"/>
      <c r="I24" s="48"/>
    </row>
    <row r="25" spans="1:9" x14ac:dyDescent="0.25">
      <c r="F25" s="50"/>
      <c r="I25" s="50"/>
    </row>
    <row r="26" spans="1:9" x14ac:dyDescent="0.25">
      <c r="F26" s="47"/>
      <c r="I26" s="47"/>
    </row>
    <row r="27" spans="1:9" x14ac:dyDescent="0.25">
      <c r="C27" s="54" t="s">
        <v>454</v>
      </c>
      <c r="F27" s="49"/>
      <c r="I27" s="49"/>
    </row>
    <row r="28" spans="1:9" ht="15.75" x14ac:dyDescent="0.25">
      <c r="C28" s="54" t="s">
        <v>455</v>
      </c>
      <c r="F28" s="51"/>
      <c r="I28" s="51"/>
    </row>
    <row r="29" spans="1:9" x14ac:dyDescent="0.25">
      <c r="F29" s="46"/>
      <c r="I29" s="46"/>
    </row>
    <row r="30" spans="1:9" x14ac:dyDescent="0.25">
      <c r="F30" s="45"/>
      <c r="I30" s="45"/>
    </row>
    <row r="31" spans="1:9" x14ac:dyDescent="0.25">
      <c r="F31" s="54"/>
      <c r="I31" s="54"/>
    </row>
  </sheetData>
  <mergeCells count="5">
    <mergeCell ref="A1:C1"/>
    <mergeCell ref="A16:B16"/>
    <mergeCell ref="C2:C5"/>
    <mergeCell ref="A14:C14"/>
    <mergeCell ref="A20:C20"/>
  </mergeCells>
  <dataValidations count="2">
    <dataValidation type="list" allowBlank="1" showInputMessage="1" showErrorMessage="1" sqref="F24 I24 B4" xr:uid="{00000000-0002-0000-0000-000000000000}">
      <formula1>"New_Session,Old_Token"</formula1>
    </dataValidation>
    <dataValidation type="list" allowBlank="1" showInputMessage="1" showErrorMessage="1" sqref="B21" xr:uid="{00000000-0002-0000-0000-000001000000}">
      <formula1>"Reject, I accept the all Terms and Condition"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26"/>
  <sheetViews>
    <sheetView workbookViewId="0">
      <selection activeCell="B41" sqref="B41"/>
    </sheetView>
  </sheetViews>
  <sheetFormatPr defaultRowHeight="15" x14ac:dyDescent="0.25"/>
  <cols>
    <col min="1" max="1" width="45.42578125" bestFit="1" customWidth="1"/>
  </cols>
  <sheetData>
    <row r="1" spans="1:15" x14ac:dyDescent="0.25">
      <c r="A1" s="39" t="s">
        <v>303</v>
      </c>
      <c r="B1" s="39" t="s">
        <v>304</v>
      </c>
    </row>
    <row r="2" spans="1:15" x14ac:dyDescent="0.25">
      <c r="A2" s="34" t="s">
        <v>305</v>
      </c>
      <c r="B2" s="40" t="b">
        <v>1</v>
      </c>
      <c r="D2" s="70" t="s">
        <v>306</v>
      </c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</row>
    <row r="3" spans="1:15" x14ac:dyDescent="0.25">
      <c r="A3" s="34" t="s">
        <v>307</v>
      </c>
      <c r="B3" s="40" t="b">
        <v>0</v>
      </c>
      <c r="D3" s="71" t="s">
        <v>331</v>
      </c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</row>
    <row r="4" spans="1:15" x14ac:dyDescent="0.25">
      <c r="A4" s="34" t="s">
        <v>308</v>
      </c>
      <c r="B4" s="40" t="b">
        <v>1</v>
      </c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</row>
    <row r="5" spans="1:15" x14ac:dyDescent="0.25">
      <c r="A5" s="34" t="s">
        <v>309</v>
      </c>
      <c r="B5" s="40" t="b">
        <v>0</v>
      </c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</row>
    <row r="6" spans="1:15" x14ac:dyDescent="0.25">
      <c r="A6" s="34" t="s">
        <v>310</v>
      </c>
      <c r="B6" s="40" t="b">
        <v>0</v>
      </c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</row>
    <row r="7" spans="1:15" x14ac:dyDescent="0.25"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</row>
    <row r="8" spans="1:15" x14ac:dyDescent="0.25"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</row>
    <row r="9" spans="1:15" x14ac:dyDescent="0.25">
      <c r="D9" s="70" t="s">
        <v>311</v>
      </c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</row>
    <row r="10" spans="1:15" x14ac:dyDescent="0.25">
      <c r="D10" s="72" t="s">
        <v>332</v>
      </c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73"/>
    </row>
    <row r="11" spans="1:15" x14ac:dyDescent="0.25">
      <c r="D11" s="73"/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73"/>
    </row>
    <row r="12" spans="1:15" x14ac:dyDescent="0.25"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</row>
    <row r="13" spans="1:15" x14ac:dyDescent="0.25"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3"/>
    </row>
    <row r="14" spans="1:15" x14ac:dyDescent="0.25"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</row>
    <row r="15" spans="1:15" x14ac:dyDescent="0.25"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73"/>
    </row>
    <row r="16" spans="1:15" x14ac:dyDescent="0.25">
      <c r="D16" s="73"/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73"/>
    </row>
    <row r="17" spans="4:15" x14ac:dyDescent="0.25"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</row>
    <row r="18" spans="4:15" x14ac:dyDescent="0.25">
      <c r="D18" s="73"/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73"/>
    </row>
    <row r="19" spans="4:15" x14ac:dyDescent="0.25"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73"/>
    </row>
    <row r="20" spans="4:15" x14ac:dyDescent="0.25"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73"/>
    </row>
    <row r="21" spans="4:15" x14ac:dyDescent="0.25"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</row>
    <row r="22" spans="4:15" x14ac:dyDescent="0.25">
      <c r="D22" s="73"/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73"/>
    </row>
    <row r="23" spans="4:15" x14ac:dyDescent="0.25"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</row>
    <row r="24" spans="4:15" x14ac:dyDescent="0.25"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</row>
    <row r="25" spans="4:15" x14ac:dyDescent="0.25"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</row>
    <row r="26" spans="4:15" x14ac:dyDescent="0.25"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</row>
  </sheetData>
  <mergeCells count="4">
    <mergeCell ref="D2:O2"/>
    <mergeCell ref="D3:O8"/>
    <mergeCell ref="D9:O9"/>
    <mergeCell ref="D10:O26"/>
  </mergeCells>
  <dataValidations count="1">
    <dataValidation type="list" allowBlank="1" showInputMessage="1" showErrorMessage="1" sqref="B2:B6" xr:uid="{00000000-0002-0000-0100-000000000000}">
      <formula1>"True,False"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2877B-80BB-4305-91B3-C40400BF98E5}">
  <sheetPr codeName="Sheet11"/>
  <dimension ref="A1:G11"/>
  <sheetViews>
    <sheetView workbookViewId="0">
      <selection activeCell="H37" sqref="H37"/>
    </sheetView>
  </sheetViews>
  <sheetFormatPr defaultRowHeight="15" x14ac:dyDescent="0.25"/>
  <sheetData>
    <row r="1" spans="1:7" x14ac:dyDescent="0.25">
      <c r="A1" t="s">
        <v>340</v>
      </c>
      <c r="B1" t="s">
        <v>341</v>
      </c>
      <c r="C1" t="s">
        <v>342</v>
      </c>
      <c r="D1" t="s">
        <v>343</v>
      </c>
      <c r="E1" t="s">
        <v>344</v>
      </c>
      <c r="F1" t="s">
        <v>345</v>
      </c>
      <c r="G1" t="s">
        <v>346</v>
      </c>
    </row>
    <row r="2" spans="1:7" x14ac:dyDescent="0.25">
      <c r="A2">
        <v>82</v>
      </c>
      <c r="B2" t="s">
        <v>428</v>
      </c>
      <c r="C2" t="s">
        <v>429</v>
      </c>
      <c r="D2">
        <v>532368</v>
      </c>
      <c r="E2">
        <v>-0.72</v>
      </c>
      <c r="F2">
        <v>16.59</v>
      </c>
      <c r="G2">
        <v>16856190</v>
      </c>
    </row>
    <row r="3" spans="1:7" x14ac:dyDescent="0.25">
      <c r="A3">
        <v>76</v>
      </c>
      <c r="B3" t="s">
        <v>430</v>
      </c>
      <c r="C3" t="s">
        <v>431</v>
      </c>
      <c r="D3">
        <v>532939</v>
      </c>
      <c r="E3">
        <v>-2.36</v>
      </c>
      <c r="F3">
        <v>48.91</v>
      </c>
      <c r="G3">
        <v>13414091</v>
      </c>
    </row>
    <row r="4" spans="1:7" x14ac:dyDescent="0.25">
      <c r="A4">
        <v>72</v>
      </c>
      <c r="B4" t="s">
        <v>370</v>
      </c>
      <c r="C4" t="s">
        <v>432</v>
      </c>
      <c r="D4">
        <v>532754</v>
      </c>
      <c r="E4">
        <v>0.66</v>
      </c>
      <c r="F4">
        <v>89.55</v>
      </c>
      <c r="G4">
        <v>7729819</v>
      </c>
    </row>
    <row r="5" spans="1:7" x14ac:dyDescent="0.25">
      <c r="A5">
        <v>64</v>
      </c>
      <c r="B5" t="s">
        <v>133</v>
      </c>
      <c r="C5" t="s">
        <v>433</v>
      </c>
      <c r="D5">
        <v>530965</v>
      </c>
      <c r="E5">
        <v>-1.05</v>
      </c>
      <c r="F5">
        <v>139.94999999999999</v>
      </c>
      <c r="G5">
        <v>5874783</v>
      </c>
    </row>
    <row r="6" spans="1:7" x14ac:dyDescent="0.25">
      <c r="A6">
        <v>16</v>
      </c>
      <c r="B6" t="s">
        <v>185</v>
      </c>
      <c r="C6" t="s">
        <v>434</v>
      </c>
      <c r="D6">
        <v>500325</v>
      </c>
      <c r="E6">
        <v>-1.0900000000000001</v>
      </c>
      <c r="F6">
        <v>1409.2</v>
      </c>
      <c r="G6">
        <v>5818868</v>
      </c>
    </row>
    <row r="7" spans="1:7" x14ac:dyDescent="0.25">
      <c r="A7">
        <v>77</v>
      </c>
      <c r="B7" t="s">
        <v>435</v>
      </c>
      <c r="C7" t="s">
        <v>436</v>
      </c>
      <c r="D7">
        <v>521064</v>
      </c>
      <c r="E7">
        <v>-0.49</v>
      </c>
      <c r="F7">
        <v>28.49</v>
      </c>
      <c r="G7">
        <v>3047631</v>
      </c>
    </row>
    <row r="8" spans="1:7" x14ac:dyDescent="0.25">
      <c r="A8">
        <v>15</v>
      </c>
      <c r="B8" t="s">
        <v>108</v>
      </c>
      <c r="C8" t="s">
        <v>437</v>
      </c>
      <c r="D8">
        <v>532281</v>
      </c>
      <c r="E8">
        <v>-1.82</v>
      </c>
      <c r="F8">
        <v>1466.3</v>
      </c>
      <c r="G8">
        <v>2802805</v>
      </c>
    </row>
    <row r="9" spans="1:7" x14ac:dyDescent="0.25">
      <c r="A9">
        <v>21</v>
      </c>
      <c r="B9" t="s">
        <v>438</v>
      </c>
      <c r="C9" t="s">
        <v>439</v>
      </c>
      <c r="D9">
        <v>543318</v>
      </c>
      <c r="E9">
        <v>0.42</v>
      </c>
      <c r="F9">
        <v>1153.8</v>
      </c>
      <c r="G9">
        <v>2392424</v>
      </c>
    </row>
    <row r="10" spans="1:7" x14ac:dyDescent="0.25">
      <c r="A10">
        <v>28</v>
      </c>
      <c r="B10" t="s">
        <v>126</v>
      </c>
      <c r="C10" t="s">
        <v>440</v>
      </c>
      <c r="D10">
        <v>500850</v>
      </c>
      <c r="E10">
        <v>-0.85</v>
      </c>
      <c r="F10">
        <v>788.85</v>
      </c>
      <c r="G10">
        <v>1780524</v>
      </c>
    </row>
    <row r="11" spans="1:7" x14ac:dyDescent="0.25">
      <c r="A11">
        <v>61</v>
      </c>
      <c r="B11" t="s">
        <v>441</v>
      </c>
      <c r="C11" t="s">
        <v>442</v>
      </c>
      <c r="D11">
        <v>500940</v>
      </c>
      <c r="E11">
        <v>1.74</v>
      </c>
      <c r="F11">
        <v>211.72</v>
      </c>
      <c r="G11">
        <v>1773366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L44"/>
  <sheetViews>
    <sheetView zoomScale="85" zoomScaleNormal="85" workbookViewId="0">
      <pane ySplit="3" topLeftCell="A16" activePane="bottomLeft" state="frozen"/>
      <selection pane="bottomLeft" activeCell="AC17" sqref="AC17"/>
    </sheetView>
  </sheetViews>
  <sheetFormatPr defaultRowHeight="15" x14ac:dyDescent="0.25"/>
  <cols>
    <col min="1" max="1" width="35.5703125" bestFit="1" customWidth="1"/>
    <col min="2" max="2" width="16.28515625" hidden="1" customWidth="1"/>
    <col min="3" max="3" width="16.140625" hidden="1" customWidth="1"/>
    <col min="4" max="4" width="11.5703125" hidden="1" customWidth="1"/>
    <col min="5" max="5" width="9" hidden="1" customWidth="1"/>
    <col min="6" max="6" width="14.7109375" hidden="1" customWidth="1"/>
    <col min="7" max="7" width="17.28515625" hidden="1" customWidth="1"/>
    <col min="8" max="8" width="8" hidden="1" customWidth="1"/>
    <col min="9" max="9" width="10" hidden="1" customWidth="1"/>
    <col min="10" max="10" width="9" hidden="1" customWidth="1"/>
    <col min="11" max="11" width="9" bestFit="1" customWidth="1"/>
    <col min="12" max="12" width="9.140625" bestFit="1" customWidth="1"/>
    <col min="13" max="13" width="5.140625" bestFit="1" customWidth="1"/>
    <col min="14" max="14" width="7.85546875" bestFit="1" customWidth="1"/>
    <col min="15" max="15" width="14.28515625" bestFit="1" customWidth="1"/>
    <col min="16" max="16" width="10.28515625" bestFit="1" customWidth="1"/>
    <col min="17" max="17" width="7.28515625" bestFit="1" customWidth="1"/>
    <col min="18" max="18" width="14.5703125" bestFit="1" customWidth="1"/>
    <col min="19" max="19" width="11.28515625" bestFit="1" customWidth="1"/>
    <col min="20" max="20" width="12.28515625" bestFit="1" customWidth="1"/>
    <col min="21" max="21" width="16.140625" bestFit="1" customWidth="1"/>
    <col min="22" max="22" width="10.7109375" bestFit="1" customWidth="1"/>
    <col min="23" max="24" width="8.28515625" bestFit="1" customWidth="1"/>
    <col min="25" max="25" width="8.42578125" bestFit="1" customWidth="1"/>
    <col min="26" max="26" width="8.5703125" bestFit="1" customWidth="1"/>
    <col min="27" max="27" width="7.7109375" bestFit="1" customWidth="1"/>
    <col min="28" max="28" width="8.28515625" bestFit="1" customWidth="1"/>
    <col min="29" max="29" width="7" bestFit="1" customWidth="1"/>
    <col min="31" max="31" width="11.28515625" bestFit="1" customWidth="1"/>
    <col min="32" max="32" width="10.28515625" customWidth="1"/>
  </cols>
  <sheetData>
    <row r="1" spans="1:38" ht="23.25" customHeight="1" x14ac:dyDescent="0.25">
      <c r="A1" s="11" t="s">
        <v>237</v>
      </c>
      <c r="B1" s="11" t="s">
        <v>238</v>
      </c>
      <c r="C1" s="11" t="s">
        <v>232</v>
      </c>
      <c r="D1" s="12" t="s">
        <v>233</v>
      </c>
      <c r="E1" s="11"/>
      <c r="F1" s="11" t="s">
        <v>236</v>
      </c>
      <c r="G1" s="78" t="s">
        <v>243</v>
      </c>
      <c r="H1" s="79"/>
      <c r="I1" s="79"/>
      <c r="J1" s="80"/>
      <c r="K1" s="74" t="s">
        <v>234</v>
      </c>
      <c r="L1" s="75"/>
      <c r="M1" s="75"/>
      <c r="N1" s="75"/>
      <c r="O1" s="76"/>
      <c r="P1" s="13" t="s">
        <v>235</v>
      </c>
      <c r="S1" s="13" t="s">
        <v>294</v>
      </c>
      <c r="V1" s="13" t="s">
        <v>334</v>
      </c>
      <c r="AE1" s="58" t="s">
        <v>335</v>
      </c>
      <c r="AF1" s="58" t="s">
        <v>336</v>
      </c>
      <c r="AH1" s="57" t="s">
        <v>348</v>
      </c>
      <c r="AI1" s="57" t="s">
        <v>349</v>
      </c>
      <c r="AK1" s="57" t="s">
        <v>350</v>
      </c>
      <c r="AL1" s="57" t="s">
        <v>351</v>
      </c>
    </row>
    <row r="2" spans="1:38" ht="42" customHeight="1" x14ac:dyDescent="0.25">
      <c r="A2" s="14">
        <v>0</v>
      </c>
      <c r="B2" s="15">
        <v>0</v>
      </c>
      <c r="C2" s="15">
        <v>0</v>
      </c>
      <c r="D2" s="15">
        <v>0</v>
      </c>
      <c r="E2" s="15"/>
      <c r="F2" s="15">
        <v>-4850.25</v>
      </c>
      <c r="G2" s="81"/>
      <c r="H2" s="82"/>
      <c r="I2" s="82"/>
      <c r="J2" s="83"/>
      <c r="K2" s="77"/>
      <c r="L2" s="75"/>
      <c r="M2" s="75"/>
      <c r="N2" s="75"/>
      <c r="O2" s="76"/>
      <c r="P2" s="9" t="s">
        <v>333</v>
      </c>
      <c r="S2" s="9" t="s">
        <v>409</v>
      </c>
      <c r="U2" s="42">
        <v>0.38541666666666669</v>
      </c>
      <c r="V2" s="41">
        <f>U2+(1/1440)</f>
        <v>0.38611111111111113</v>
      </c>
      <c r="Y2" s="56">
        <v>20</v>
      </c>
      <c r="AE2" s="54">
        <v>50</v>
      </c>
      <c r="AF2" s="54">
        <v>100</v>
      </c>
      <c r="AH2" s="54">
        <v>20</v>
      </c>
      <c r="AI2" s="54">
        <v>20</v>
      </c>
      <c r="AK2" s="54">
        <v>0.26</v>
      </c>
      <c r="AL2" s="54">
        <f>-AK2</f>
        <v>-0.26</v>
      </c>
    </row>
    <row r="3" spans="1:38" ht="75" x14ac:dyDescent="0.25">
      <c r="A3" s="9" t="s">
        <v>5</v>
      </c>
      <c r="B3" s="10" t="s">
        <v>6</v>
      </c>
      <c r="C3" s="10" t="s">
        <v>7</v>
      </c>
      <c r="D3" s="10" t="s">
        <v>8</v>
      </c>
      <c r="E3" s="10" t="s">
        <v>9</v>
      </c>
      <c r="F3" s="10" t="s">
        <v>10</v>
      </c>
      <c r="G3" s="10" t="s">
        <v>11</v>
      </c>
      <c r="H3" s="10" t="s">
        <v>12</v>
      </c>
      <c r="I3" s="10" t="s">
        <v>13</v>
      </c>
      <c r="J3" s="10" t="s">
        <v>49</v>
      </c>
      <c r="K3" s="10" t="s">
        <v>14</v>
      </c>
      <c r="L3" s="10" t="s">
        <v>15</v>
      </c>
      <c r="M3" s="9" t="s">
        <v>16</v>
      </c>
      <c r="N3" s="9" t="s">
        <v>227</v>
      </c>
      <c r="O3" s="9" t="s">
        <v>17</v>
      </c>
      <c r="P3" s="9" t="s">
        <v>295</v>
      </c>
      <c r="Q3" s="10" t="s">
        <v>228</v>
      </c>
      <c r="R3" s="10" t="s">
        <v>296</v>
      </c>
      <c r="S3" s="10" t="s">
        <v>297</v>
      </c>
      <c r="T3" s="9" t="s">
        <v>18</v>
      </c>
      <c r="U3" s="10" t="s">
        <v>229</v>
      </c>
      <c r="V3" s="10" t="s">
        <v>298</v>
      </c>
      <c r="W3" s="10" t="s">
        <v>299</v>
      </c>
      <c r="X3" s="9" t="s">
        <v>19</v>
      </c>
      <c r="Y3" s="9" t="s">
        <v>20</v>
      </c>
      <c r="Z3" s="9" t="s">
        <v>300</v>
      </c>
      <c r="AA3" s="10" t="s">
        <v>230</v>
      </c>
      <c r="AB3" s="10" t="s">
        <v>21</v>
      </c>
      <c r="AC3" s="10" t="s">
        <v>231</v>
      </c>
      <c r="AD3" s="9"/>
      <c r="AE3" s="9"/>
      <c r="AF3" s="9"/>
      <c r="AG3" s="9"/>
      <c r="AH3" s="9"/>
      <c r="AI3" s="54"/>
      <c r="AK3" s="54"/>
      <c r="AL3" s="54"/>
    </row>
    <row r="4" spans="1:38" x14ac:dyDescent="0.25">
      <c r="A4" t="s">
        <v>24</v>
      </c>
      <c r="B4">
        <v>10.25</v>
      </c>
      <c r="C4">
        <v>10.25</v>
      </c>
      <c r="D4">
        <v>9.49</v>
      </c>
      <c r="E4">
        <v>10.25</v>
      </c>
      <c r="F4" t="s">
        <v>22</v>
      </c>
      <c r="G4" t="s">
        <v>22</v>
      </c>
      <c r="H4" t="s">
        <v>22</v>
      </c>
      <c r="I4" t="s">
        <v>22</v>
      </c>
      <c r="J4" t="s">
        <v>22</v>
      </c>
      <c r="K4">
        <v>9.89</v>
      </c>
      <c r="L4">
        <v>-3.51</v>
      </c>
      <c r="AE4" s="54"/>
      <c r="AF4" s="54"/>
      <c r="AH4" s="54"/>
      <c r="AI4" s="54"/>
      <c r="AK4" s="54"/>
      <c r="AL4" s="54"/>
    </row>
    <row r="6" spans="1:38" x14ac:dyDescent="0.25">
      <c r="A6" t="s">
        <v>23</v>
      </c>
      <c r="B6">
        <v>25441.05</v>
      </c>
      <c r="C6">
        <v>25448.95</v>
      </c>
      <c r="D6">
        <v>25329.75</v>
      </c>
      <c r="E6">
        <v>25330.25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>
        <v>25423.599999999999</v>
      </c>
      <c r="L6">
        <v>0.37</v>
      </c>
      <c r="AI6" s="54"/>
      <c r="AJ6" s="54"/>
    </row>
    <row r="7" spans="1:38" x14ac:dyDescent="0.25">
      <c r="A7" s="54" t="s">
        <v>25</v>
      </c>
      <c r="B7">
        <v>55797.1</v>
      </c>
      <c r="C7">
        <v>55835.25</v>
      </c>
      <c r="D7">
        <v>55490.9</v>
      </c>
      <c r="E7">
        <v>55493.3</v>
      </c>
      <c r="F7" t="s">
        <v>22</v>
      </c>
      <c r="G7" t="s">
        <v>22</v>
      </c>
      <c r="H7" t="s">
        <v>22</v>
      </c>
      <c r="I7" t="s">
        <v>22</v>
      </c>
      <c r="J7" t="s">
        <v>22</v>
      </c>
      <c r="K7">
        <v>55727.45</v>
      </c>
      <c r="L7">
        <v>0.42</v>
      </c>
      <c r="AI7" s="54"/>
      <c r="AJ7" s="54"/>
    </row>
    <row r="8" spans="1:38" x14ac:dyDescent="0.25">
      <c r="A8" s="54" t="s">
        <v>26</v>
      </c>
      <c r="B8">
        <v>26685.9</v>
      </c>
      <c r="C8">
        <v>26723.95</v>
      </c>
      <c r="D8">
        <v>26588.5</v>
      </c>
      <c r="E8">
        <v>26563.55</v>
      </c>
      <c r="F8" t="s">
        <v>22</v>
      </c>
      <c r="G8" t="s">
        <v>22</v>
      </c>
      <c r="H8" t="s">
        <v>22</v>
      </c>
      <c r="I8" t="s">
        <v>22</v>
      </c>
      <c r="J8" t="s">
        <v>22</v>
      </c>
      <c r="K8">
        <v>26698.65</v>
      </c>
      <c r="L8">
        <v>0.51</v>
      </c>
      <c r="AI8" s="54"/>
      <c r="AJ8" s="54"/>
    </row>
    <row r="9" spans="1:38" x14ac:dyDescent="0.25">
      <c r="A9" s="54" t="s">
        <v>338</v>
      </c>
      <c r="B9">
        <v>13197.5</v>
      </c>
      <c r="C9">
        <v>13248.15</v>
      </c>
      <c r="D9">
        <v>13141.15</v>
      </c>
      <c r="E9">
        <v>13151.9</v>
      </c>
      <c r="F9" t="s">
        <v>22</v>
      </c>
      <c r="G9" t="s">
        <v>22</v>
      </c>
      <c r="H9" t="s">
        <v>22</v>
      </c>
      <c r="I9" t="s">
        <v>22</v>
      </c>
      <c r="J9" t="s">
        <v>22</v>
      </c>
      <c r="K9">
        <v>13234.25</v>
      </c>
      <c r="L9">
        <v>0.63</v>
      </c>
      <c r="AI9" s="54"/>
      <c r="AJ9" s="54"/>
    </row>
    <row r="10" spans="1:38" x14ac:dyDescent="0.25">
      <c r="A10" s="54" t="s">
        <v>339</v>
      </c>
      <c r="B10">
        <v>892.4</v>
      </c>
      <c r="C10">
        <v>0</v>
      </c>
      <c r="D10">
        <v>0</v>
      </c>
      <c r="E10">
        <v>883.7</v>
      </c>
      <c r="F10">
        <v>0</v>
      </c>
      <c r="G10">
        <v>0</v>
      </c>
      <c r="H10">
        <v>0</v>
      </c>
      <c r="I10">
        <v>10</v>
      </c>
      <c r="J10" t="s">
        <v>22</v>
      </c>
      <c r="K10">
        <v>892.4</v>
      </c>
      <c r="L10">
        <v>0.98</v>
      </c>
      <c r="AI10" s="54"/>
      <c r="AJ10" s="54"/>
    </row>
    <row r="11" spans="1:38" s="54" customFormat="1" x14ac:dyDescent="0.25">
      <c r="A11" s="54" t="s">
        <v>425</v>
      </c>
      <c r="B11" s="54">
        <v>26554.720000000001</v>
      </c>
      <c r="C11" s="54">
        <v>26563.19</v>
      </c>
      <c r="D11" s="54">
        <v>26436.84</v>
      </c>
      <c r="E11" s="54">
        <v>26439</v>
      </c>
      <c r="F11" s="54" t="s">
        <v>22</v>
      </c>
      <c r="G11" s="54" t="s">
        <v>22</v>
      </c>
      <c r="H11" s="54" t="s">
        <v>22</v>
      </c>
      <c r="I11" s="54" t="s">
        <v>22</v>
      </c>
      <c r="J11" s="54" t="s">
        <v>22</v>
      </c>
      <c r="K11" s="54">
        <v>26530.77</v>
      </c>
      <c r="L11" s="54">
        <v>0.35</v>
      </c>
    </row>
    <row r="12" spans="1:38" s="54" customFormat="1" x14ac:dyDescent="0.25">
      <c r="A12" s="54" t="s">
        <v>426</v>
      </c>
      <c r="B12" s="54">
        <v>62688.52</v>
      </c>
      <c r="C12" s="54">
        <v>62772.97</v>
      </c>
      <c r="D12" s="54">
        <v>62423.9</v>
      </c>
      <c r="E12" s="54">
        <v>62427.39</v>
      </c>
      <c r="F12" s="54" t="s">
        <v>22</v>
      </c>
      <c r="G12" s="54" t="s">
        <v>22</v>
      </c>
      <c r="H12" s="54" t="s">
        <v>22</v>
      </c>
      <c r="I12" s="54" t="s">
        <v>22</v>
      </c>
      <c r="J12" s="54" t="s">
        <v>22</v>
      </c>
      <c r="K12" s="54">
        <v>62653.64</v>
      </c>
      <c r="L12" s="54">
        <v>0.36</v>
      </c>
    </row>
    <row r="13" spans="1:38" x14ac:dyDescent="0.25">
      <c r="A13" s="54"/>
    </row>
    <row r="14" spans="1:38" x14ac:dyDescent="0.25">
      <c r="A14" t="s">
        <v>27</v>
      </c>
      <c r="B14">
        <v>7.79</v>
      </c>
      <c r="C14">
        <v>7.93</v>
      </c>
      <c r="D14">
        <v>7.72</v>
      </c>
      <c r="E14">
        <v>7.77</v>
      </c>
      <c r="F14">
        <v>7.82</v>
      </c>
      <c r="G14">
        <v>7.84</v>
      </c>
      <c r="H14">
        <v>0</v>
      </c>
      <c r="I14">
        <v>596497872</v>
      </c>
      <c r="J14" t="s">
        <v>22</v>
      </c>
      <c r="K14">
        <v>7.84</v>
      </c>
      <c r="L14">
        <v>0.9</v>
      </c>
    </row>
    <row r="15" spans="1:38" x14ac:dyDescent="0.25">
      <c r="A15" s="54" t="s">
        <v>28</v>
      </c>
      <c r="B15">
        <v>1420.4</v>
      </c>
      <c r="C15">
        <v>1422</v>
      </c>
      <c r="D15">
        <v>1410.7</v>
      </c>
      <c r="E15">
        <v>1413.8</v>
      </c>
      <c r="F15">
        <v>1415.31</v>
      </c>
      <c r="G15">
        <v>0</v>
      </c>
      <c r="H15">
        <v>1415</v>
      </c>
      <c r="I15">
        <v>9332642</v>
      </c>
      <c r="J15" t="s">
        <v>22</v>
      </c>
      <c r="K15">
        <v>1415</v>
      </c>
      <c r="L15">
        <v>0.08</v>
      </c>
      <c r="AD15" s="54"/>
      <c r="AE15" s="54"/>
      <c r="AF15" s="54"/>
    </row>
    <row r="16" spans="1:38" x14ac:dyDescent="0.25">
      <c r="A16" s="54"/>
      <c r="AD16" s="54"/>
      <c r="AE16" s="54"/>
      <c r="AF16" s="54"/>
    </row>
    <row r="17" spans="1:32" x14ac:dyDescent="0.25">
      <c r="A17" s="54" t="s">
        <v>452</v>
      </c>
      <c r="B17" t="s">
        <v>22</v>
      </c>
      <c r="C17" t="s">
        <v>22</v>
      </c>
      <c r="D17" t="s">
        <v>22</v>
      </c>
      <c r="E17">
        <v>1585.6</v>
      </c>
      <c r="F17" t="s">
        <v>22</v>
      </c>
      <c r="G17">
        <v>132.19999999999999</v>
      </c>
      <c r="H17">
        <v>208.8</v>
      </c>
      <c r="I17" t="s">
        <v>22</v>
      </c>
      <c r="J17">
        <v>0</v>
      </c>
      <c r="K17">
        <v>282</v>
      </c>
      <c r="L17">
        <v>-82.21</v>
      </c>
      <c r="AD17" s="54"/>
      <c r="AE17" s="54"/>
      <c r="AF17" s="54"/>
    </row>
    <row r="18" spans="1:32" x14ac:dyDescent="0.25">
      <c r="A18" s="54" t="s">
        <v>453</v>
      </c>
      <c r="B18">
        <v>222</v>
      </c>
      <c r="C18">
        <v>264</v>
      </c>
      <c r="D18">
        <v>178.25</v>
      </c>
      <c r="E18">
        <v>271.75</v>
      </c>
      <c r="F18">
        <v>211.58</v>
      </c>
      <c r="G18">
        <v>185</v>
      </c>
      <c r="H18">
        <v>188.85</v>
      </c>
      <c r="I18">
        <v>48100</v>
      </c>
      <c r="J18">
        <v>9360</v>
      </c>
      <c r="K18">
        <v>189.7</v>
      </c>
      <c r="L18">
        <v>-30.19</v>
      </c>
      <c r="AD18" s="54"/>
      <c r="AE18" s="54"/>
      <c r="AF18" s="54"/>
    </row>
    <row r="19" spans="1:32" x14ac:dyDescent="0.25">
      <c r="A19" s="54"/>
      <c r="AD19" s="54"/>
      <c r="AE19" s="54"/>
      <c r="AF19" s="54"/>
    </row>
    <row r="20" spans="1:32" x14ac:dyDescent="0.25">
      <c r="A20" s="54" t="s">
        <v>446</v>
      </c>
      <c r="B20">
        <v>539</v>
      </c>
      <c r="C20">
        <v>555.45000000000005</v>
      </c>
      <c r="D20">
        <v>478</v>
      </c>
      <c r="E20">
        <v>470.3</v>
      </c>
      <c r="F20">
        <v>525.30999999999995</v>
      </c>
      <c r="G20">
        <v>534.04999999999995</v>
      </c>
      <c r="H20">
        <v>537.75</v>
      </c>
      <c r="I20">
        <v>1576875</v>
      </c>
      <c r="J20">
        <v>3553200</v>
      </c>
      <c r="K20">
        <v>532.6</v>
      </c>
      <c r="L20">
        <v>13.25</v>
      </c>
      <c r="AD20" s="54"/>
      <c r="AE20" s="54"/>
      <c r="AF20" s="54"/>
    </row>
    <row r="21" spans="1:32" x14ac:dyDescent="0.25">
      <c r="A21" s="54" t="s">
        <v>447</v>
      </c>
      <c r="B21">
        <v>37</v>
      </c>
      <c r="C21">
        <v>41.35</v>
      </c>
      <c r="D21">
        <v>27.3</v>
      </c>
      <c r="E21">
        <v>48.15</v>
      </c>
      <c r="F21">
        <v>32.89</v>
      </c>
      <c r="G21">
        <v>27.95</v>
      </c>
      <c r="H21">
        <v>28.25</v>
      </c>
      <c r="I21">
        <v>8869500</v>
      </c>
      <c r="J21">
        <v>5744325</v>
      </c>
      <c r="K21">
        <v>27.95</v>
      </c>
      <c r="L21">
        <v>-41.95</v>
      </c>
      <c r="AD21" s="54"/>
      <c r="AE21" s="54"/>
      <c r="AF21" s="54"/>
    </row>
    <row r="22" spans="1:32" x14ac:dyDescent="0.25">
      <c r="A22" s="54"/>
      <c r="AD22" s="54"/>
      <c r="AE22" s="54"/>
      <c r="AF22" s="54"/>
    </row>
    <row r="23" spans="1:32" x14ac:dyDescent="0.25">
      <c r="A23" s="54" t="s">
        <v>448</v>
      </c>
      <c r="B23">
        <v>1900</v>
      </c>
      <c r="C23">
        <v>2016.9</v>
      </c>
      <c r="D23">
        <v>1705.25</v>
      </c>
      <c r="E23">
        <v>1754.3</v>
      </c>
      <c r="F23">
        <v>1881.89</v>
      </c>
      <c r="G23">
        <v>1903.8</v>
      </c>
      <c r="H23">
        <v>1916</v>
      </c>
      <c r="I23">
        <v>157185</v>
      </c>
      <c r="J23">
        <v>577530</v>
      </c>
      <c r="K23">
        <v>1912.5</v>
      </c>
      <c r="L23">
        <v>9.02</v>
      </c>
      <c r="AD23" s="54"/>
      <c r="AE23" s="54"/>
      <c r="AF23" s="54"/>
    </row>
    <row r="24" spans="1:32" x14ac:dyDescent="0.25">
      <c r="A24" s="54" t="s">
        <v>449</v>
      </c>
      <c r="B24">
        <v>453</v>
      </c>
      <c r="C24">
        <v>574.20000000000005</v>
      </c>
      <c r="D24">
        <v>380</v>
      </c>
      <c r="E24">
        <v>570.70000000000005</v>
      </c>
      <c r="F24">
        <v>449.74</v>
      </c>
      <c r="G24">
        <v>414.05</v>
      </c>
      <c r="H24">
        <v>417.6</v>
      </c>
      <c r="I24">
        <v>4021045</v>
      </c>
      <c r="J24">
        <v>557165</v>
      </c>
      <c r="K24">
        <v>413.75</v>
      </c>
      <c r="L24">
        <v>-27.5</v>
      </c>
      <c r="AD24" s="54"/>
      <c r="AE24" s="54"/>
      <c r="AF24" s="54"/>
    </row>
    <row r="25" spans="1:32" x14ac:dyDescent="0.25">
      <c r="A25" s="54"/>
      <c r="AD25" s="54"/>
      <c r="AE25" s="54"/>
      <c r="AF25" s="54"/>
    </row>
    <row r="26" spans="1:32" ht="12.6" customHeight="1" x14ac:dyDescent="0.25">
      <c r="A26" s="54" t="s">
        <v>450</v>
      </c>
      <c r="B26">
        <v>279.95</v>
      </c>
      <c r="C26">
        <v>334.9</v>
      </c>
      <c r="D26">
        <v>247.8</v>
      </c>
      <c r="E26">
        <v>260.8</v>
      </c>
      <c r="F26">
        <v>285.57</v>
      </c>
      <c r="G26">
        <v>330.05</v>
      </c>
      <c r="H26">
        <v>333.45</v>
      </c>
      <c r="I26">
        <v>439040</v>
      </c>
      <c r="J26">
        <v>260400</v>
      </c>
      <c r="K26">
        <v>333.45</v>
      </c>
      <c r="L26">
        <v>27.86</v>
      </c>
      <c r="AD26" s="54"/>
      <c r="AE26" s="54"/>
      <c r="AF26" s="54"/>
    </row>
    <row r="27" spans="1:32" ht="16.899999999999999" customHeight="1" x14ac:dyDescent="0.25">
      <c r="A27" s="54" t="s">
        <v>451</v>
      </c>
      <c r="B27">
        <v>60.3</v>
      </c>
      <c r="C27">
        <v>64.7</v>
      </c>
      <c r="D27">
        <v>36.299999999999997</v>
      </c>
      <c r="E27">
        <v>66.75</v>
      </c>
      <c r="F27">
        <v>49.44</v>
      </c>
      <c r="G27">
        <v>37.049999999999997</v>
      </c>
      <c r="H27">
        <v>38.75</v>
      </c>
      <c r="I27">
        <v>2251900</v>
      </c>
      <c r="J27">
        <v>594020</v>
      </c>
      <c r="K27">
        <v>38.35</v>
      </c>
      <c r="L27">
        <v>-42.55</v>
      </c>
      <c r="AD27" s="54"/>
      <c r="AE27" s="54"/>
      <c r="AF27" s="54"/>
    </row>
    <row r="28" spans="1:32" x14ac:dyDescent="0.25">
      <c r="A28" s="54"/>
      <c r="AD28" s="54"/>
      <c r="AE28" s="54"/>
      <c r="AF28" s="54"/>
    </row>
    <row r="29" spans="1:32" x14ac:dyDescent="0.25">
      <c r="A29" s="54" t="s">
        <v>424</v>
      </c>
      <c r="B29">
        <v>373.05</v>
      </c>
      <c r="C29">
        <v>455.25</v>
      </c>
      <c r="D29">
        <v>360</v>
      </c>
      <c r="E29">
        <v>367.4</v>
      </c>
      <c r="F29">
        <v>408.59</v>
      </c>
      <c r="G29">
        <v>361.25</v>
      </c>
      <c r="H29">
        <v>442</v>
      </c>
      <c r="I29">
        <v>42835</v>
      </c>
      <c r="J29">
        <v>21905</v>
      </c>
      <c r="K29">
        <v>436.2</v>
      </c>
      <c r="L29">
        <v>18.73</v>
      </c>
      <c r="AD29" s="54"/>
      <c r="AE29" s="54"/>
      <c r="AF29" s="54"/>
    </row>
    <row r="30" spans="1:32" x14ac:dyDescent="0.25">
      <c r="A30" s="54"/>
      <c r="AD30" s="54"/>
      <c r="AE30" s="54"/>
      <c r="AF30" s="54"/>
    </row>
    <row r="31" spans="1:32" x14ac:dyDescent="0.25">
      <c r="A31" s="54" t="s">
        <v>444</v>
      </c>
      <c r="B31">
        <v>41.8</v>
      </c>
      <c r="C31">
        <v>41.8</v>
      </c>
      <c r="D31">
        <v>21.75</v>
      </c>
      <c r="E31">
        <v>50.3</v>
      </c>
      <c r="F31">
        <v>27.57</v>
      </c>
      <c r="G31">
        <v>0</v>
      </c>
      <c r="H31">
        <v>0</v>
      </c>
      <c r="I31">
        <v>875260</v>
      </c>
      <c r="J31">
        <v>287980</v>
      </c>
      <c r="K31">
        <v>22.4</v>
      </c>
      <c r="L31">
        <v>-55.47</v>
      </c>
      <c r="AD31" s="54"/>
      <c r="AE31" s="54"/>
      <c r="AF31" s="54"/>
    </row>
    <row r="32" spans="1:32" ht="13.9" customHeight="1" x14ac:dyDescent="0.25">
      <c r="A32" s="54" t="s">
        <v>445</v>
      </c>
      <c r="B32">
        <v>2188.35</v>
      </c>
      <c r="C32">
        <v>2267</v>
      </c>
      <c r="D32">
        <v>2007</v>
      </c>
      <c r="E32">
        <v>1958.25</v>
      </c>
      <c r="F32">
        <v>2142.8000000000002</v>
      </c>
      <c r="G32">
        <v>0</v>
      </c>
      <c r="H32">
        <v>0</v>
      </c>
      <c r="I32">
        <v>11280</v>
      </c>
      <c r="J32">
        <v>25580</v>
      </c>
      <c r="K32">
        <v>2220</v>
      </c>
      <c r="L32">
        <v>13.37</v>
      </c>
      <c r="AD32" s="54"/>
      <c r="AE32" s="54"/>
      <c r="AF32" s="54"/>
    </row>
    <row r="33" spans="1:32" x14ac:dyDescent="0.25">
      <c r="AD33" s="54"/>
      <c r="AE33" s="54"/>
      <c r="AF33" s="54"/>
    </row>
    <row r="34" spans="1:32" x14ac:dyDescent="0.25">
      <c r="A34" s="54"/>
      <c r="AD34" s="54"/>
      <c r="AE34" s="54"/>
      <c r="AF34" s="54"/>
    </row>
    <row r="35" spans="1:32" x14ac:dyDescent="0.25">
      <c r="A35" s="54"/>
      <c r="AD35" s="54"/>
      <c r="AE35" s="54"/>
      <c r="AF35" s="54"/>
    </row>
    <row r="36" spans="1:32" x14ac:dyDescent="0.25">
      <c r="A36" s="53"/>
      <c r="AD36" s="54"/>
      <c r="AE36" s="54"/>
      <c r="AF36" s="54"/>
    </row>
    <row r="37" spans="1:32" x14ac:dyDescent="0.25">
      <c r="A37" s="54"/>
      <c r="AD37" s="54"/>
      <c r="AE37" s="54"/>
      <c r="AF37" s="54"/>
    </row>
    <row r="38" spans="1:32" x14ac:dyDescent="0.25">
      <c r="A38" s="54" t="s">
        <v>427</v>
      </c>
      <c r="B38">
        <v>89.99</v>
      </c>
      <c r="C38">
        <v>0</v>
      </c>
      <c r="D38">
        <v>0</v>
      </c>
      <c r="E38">
        <v>89.8</v>
      </c>
      <c r="F38">
        <v>0</v>
      </c>
      <c r="G38">
        <v>0</v>
      </c>
      <c r="H38">
        <v>0</v>
      </c>
      <c r="I38">
        <v>3394</v>
      </c>
      <c r="J38" t="s">
        <v>22</v>
      </c>
      <c r="K38">
        <v>89.99</v>
      </c>
      <c r="L38">
        <v>0.21</v>
      </c>
      <c r="AD38" s="54"/>
      <c r="AE38" s="54"/>
      <c r="AF38" s="54"/>
    </row>
    <row r="39" spans="1:32" x14ac:dyDescent="0.25">
      <c r="A39" s="59"/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V39" s="59"/>
      <c r="W39" s="59"/>
      <c r="X39" s="59"/>
      <c r="Y39" s="59"/>
      <c r="Z39" s="59"/>
      <c r="AA39" s="59"/>
      <c r="AB39" s="59"/>
      <c r="AC39" s="59"/>
      <c r="AD39" s="59"/>
    </row>
    <row r="40" spans="1:32" x14ac:dyDescent="0.25">
      <c r="A40" s="59"/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59"/>
      <c r="V40" s="59"/>
      <c r="W40" s="59"/>
      <c r="X40" s="59"/>
      <c r="Y40" s="59"/>
      <c r="Z40" s="59"/>
      <c r="AA40" s="59"/>
      <c r="AB40" s="59"/>
      <c r="AC40" s="59"/>
      <c r="AD40" s="59"/>
    </row>
    <row r="41" spans="1:32" x14ac:dyDescent="0.25">
      <c r="A41" s="59"/>
      <c r="B41" s="59"/>
      <c r="C41" s="59"/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  <c r="T41" s="59"/>
      <c r="U41" s="59"/>
      <c r="V41" s="59"/>
      <c r="W41" s="59"/>
      <c r="X41" s="59"/>
      <c r="Y41" s="59"/>
      <c r="Z41" s="59"/>
      <c r="AA41" s="59"/>
      <c r="AB41" s="59"/>
      <c r="AC41" s="59"/>
      <c r="AD41" s="59"/>
    </row>
    <row r="42" spans="1:32" x14ac:dyDescent="0.25">
      <c r="A42" s="60"/>
      <c r="B42" s="59"/>
      <c r="C42" s="59"/>
      <c r="D42" s="59"/>
      <c r="E42" s="59"/>
      <c r="F42" s="59"/>
      <c r="G42" s="59"/>
      <c r="H42" s="59"/>
      <c r="I42" s="59"/>
      <c r="J42" s="59"/>
      <c r="K42" s="61"/>
      <c r="L42" s="59"/>
      <c r="M42" s="59"/>
      <c r="N42" s="59"/>
      <c r="O42" s="59"/>
      <c r="P42" s="59"/>
      <c r="Q42" s="61"/>
      <c r="R42" s="59"/>
      <c r="S42" s="59"/>
      <c r="T42" s="59"/>
      <c r="U42" s="59"/>
      <c r="V42" s="59"/>
      <c r="W42" s="59"/>
      <c r="X42" s="59"/>
      <c r="Y42" s="59"/>
      <c r="Z42" s="59"/>
      <c r="AA42" s="59"/>
      <c r="AB42" s="59"/>
      <c r="AC42" s="59"/>
      <c r="AD42" s="59"/>
    </row>
    <row r="43" spans="1:32" x14ac:dyDescent="0.25">
      <c r="A43" s="55"/>
      <c r="AC43" s="54"/>
    </row>
    <row r="44" spans="1:32" x14ac:dyDescent="0.25">
      <c r="A44" s="55"/>
    </row>
  </sheetData>
  <mergeCells count="2">
    <mergeCell ref="K1:O2"/>
    <mergeCell ref="G1:J2"/>
  </mergeCells>
  <conditionalFormatting sqref="AC4:AC57">
    <cfRule type="cellIs" dxfId="7" priority="33" operator="lessThan">
      <formula>0</formula>
    </cfRule>
    <cfRule type="cellIs" dxfId="6" priority="34" operator="greaterThan">
      <formula>0</formula>
    </cfRule>
  </conditionalFormatting>
  <conditionalFormatting sqref="AE45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AG33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AE39:AE44">
    <cfRule type="cellIs" dxfId="1" priority="1" operator="lessThan">
      <formula>0</formula>
    </cfRule>
    <cfRule type="cellIs" dxfId="0" priority="2" operator="greaterThan">
      <formula>0</formula>
    </cfRule>
  </conditionalFormatting>
  <dataValidations count="7">
    <dataValidation type="list" allowBlank="1" showInputMessage="1" showErrorMessage="1" sqref="P2" xr:uid="{00000000-0002-0000-0200-000000000000}">
      <formula1>"NRML,MIS"</formula1>
    </dataValidation>
    <dataValidation type="list" allowBlank="1" showInputMessage="1" showErrorMessage="1" sqref="Q6" xr:uid="{00000000-0002-0000-0200-000002000000}">
      <formula1>"TRUE,FALSE"</formula1>
    </dataValidation>
    <dataValidation type="list" allowBlank="1" showInputMessage="1" showErrorMessage="1" sqref="S2" xr:uid="{00000000-0002-0000-0200-000003000000}">
      <formula1>"Paper,Real"</formula1>
    </dataValidation>
    <dataValidation type="list" allowBlank="1" showInputMessage="1" showErrorMessage="1" sqref="T51:T55 T4:T29 T43:T48" xr:uid="{00000000-0002-0000-0200-000004000000}">
      <formula1>"False, True_Market, True_Limit_LTP"</formula1>
    </dataValidation>
    <dataValidation type="list" allowBlank="1" showInputMessage="1" showErrorMessage="1" sqref="N4:N56" xr:uid="{00000000-0002-0000-0200-000001000000}">
      <formula1>"BUY,SELL"</formula1>
    </dataValidation>
    <dataValidation type="list" allowBlank="1" showInputMessage="1" showErrorMessage="1" sqref="O4:O56 T30:T42" xr:uid="{00000000-0002-0000-0200-000005000000}">
      <formula1>"False, True_Market, True_Limit_LTP, Limit_Below, Limit_Above"</formula1>
    </dataValidation>
    <dataValidation type="list" allowBlank="1" showInputMessage="1" showErrorMessage="1" sqref="Z56 Z51:Z54 Z4:Z49" xr:uid="{00000000-0002-0000-0200-000006000000}">
      <formula1>"False, True"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4"/>
  <sheetViews>
    <sheetView workbookViewId="0">
      <pane ySplit="2" topLeftCell="A3" activePane="bottomLeft" state="frozen"/>
      <selection pane="bottomLeft" activeCell="H34" sqref="H34"/>
    </sheetView>
  </sheetViews>
  <sheetFormatPr defaultRowHeight="15" x14ac:dyDescent="0.25"/>
  <cols>
    <col min="1" max="1" width="14.140625" bestFit="1" customWidth="1"/>
    <col min="2" max="2" width="8.7109375" bestFit="1" customWidth="1"/>
    <col min="3" max="3" width="23.7109375" bestFit="1" customWidth="1"/>
    <col min="4" max="4" width="11.28515625" bestFit="1" customWidth="1"/>
    <col min="5" max="5" width="18" bestFit="1" customWidth="1"/>
    <col min="6" max="6" width="8.28515625" bestFit="1" customWidth="1"/>
    <col min="7" max="7" width="8.5703125" bestFit="1" customWidth="1"/>
    <col min="8" max="8" width="14.5703125" bestFit="1" customWidth="1"/>
    <col min="9" max="9" width="11.5703125" bestFit="1" customWidth="1"/>
    <col min="10" max="10" width="11.28515625" bestFit="1" customWidth="1"/>
    <col min="11" max="11" width="11.7109375" bestFit="1" customWidth="1"/>
    <col min="12" max="12" width="12.140625" bestFit="1" customWidth="1"/>
    <col min="13" max="13" width="16.7109375" bestFit="1" customWidth="1"/>
    <col min="14" max="14" width="16.28515625" bestFit="1" customWidth="1"/>
  </cols>
  <sheetData>
    <row r="1" spans="1:20" ht="37.5" x14ac:dyDescent="0.25">
      <c r="A1" s="16" t="s">
        <v>239</v>
      </c>
      <c r="B1" s="17"/>
      <c r="C1" s="17"/>
      <c r="D1" s="17" t="s">
        <v>240</v>
      </c>
      <c r="E1" s="18" t="s">
        <v>241</v>
      </c>
      <c r="F1" s="84" t="s">
        <v>242</v>
      </c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</row>
    <row r="2" spans="1:20" ht="19.5" x14ac:dyDescent="0.25">
      <c r="A2" s="19">
        <v>-4850.25</v>
      </c>
      <c r="B2" s="20"/>
      <c r="C2" s="20"/>
      <c r="D2" s="20" t="b">
        <v>0</v>
      </c>
      <c r="E2" s="20">
        <v>0</v>
      </c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</row>
    <row r="3" spans="1:20" x14ac:dyDescent="0.25">
      <c r="A3" t="s">
        <v>312</v>
      </c>
    </row>
    <row r="4" spans="1:20" x14ac:dyDescent="0.25">
      <c r="A4" t="b">
        <v>0</v>
      </c>
    </row>
  </sheetData>
  <mergeCells count="1">
    <mergeCell ref="F1:T2"/>
  </mergeCells>
  <dataValidations count="4">
    <dataValidation type="list" allowBlank="1" showInputMessage="1" showErrorMessage="1" sqref="C2" xr:uid="{00000000-0002-0000-0400-000000000000}">
      <formula1>"NSE,NFO,CDS,MCX,ALL"</formula1>
    </dataValidation>
    <dataValidation type="list" allowBlank="1" showInputMessage="1" showErrorMessage="1" sqref="B2 D2" xr:uid="{00000000-0002-0000-0400-000001000000}">
      <formula1>"False,Execute"</formula1>
    </dataValidation>
    <dataValidation type="list" allowBlank="1" showInputMessage="1" showErrorMessage="1" sqref="E2" xr:uid="{00000000-0002-0000-0400-000002000000}">
      <formula1>"0,1"</formula1>
    </dataValidation>
    <dataValidation type="list" allowBlank="1" showInputMessage="1" showErrorMessage="1" sqref="A4:A22" xr:uid="{00000000-0002-0000-0400-000003000000}">
      <formula1>"False,Square_Off"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>
      <pane ySplit="1" topLeftCell="A2" activePane="bottomLeft" state="frozen"/>
      <selection pane="bottomLeft" activeCell="N29" sqref="N29"/>
    </sheetView>
  </sheetViews>
  <sheetFormatPr defaultRowHeight="15" x14ac:dyDescent="0.25"/>
  <cols>
    <col min="1" max="1" width="13" bestFit="1" customWidth="1"/>
    <col min="2" max="2" width="19.85546875" customWidth="1"/>
    <col min="3" max="3" width="12" bestFit="1" customWidth="1"/>
    <col min="4" max="4" width="11.28515625" bestFit="1" customWidth="1"/>
    <col min="5" max="5" width="24.42578125" bestFit="1" customWidth="1"/>
    <col min="6" max="6" width="14.42578125" bestFit="1" customWidth="1"/>
    <col min="7" max="7" width="24.42578125" bestFit="1" customWidth="1"/>
    <col min="8" max="8" width="10.7109375" bestFit="1" customWidth="1"/>
    <col min="9" max="9" width="7.42578125" bestFit="1" customWidth="1"/>
    <col min="10" max="10" width="12.7109375" bestFit="1" customWidth="1"/>
    <col min="11" max="11" width="8.42578125" bestFit="1" customWidth="1"/>
    <col min="12" max="12" width="9.7109375" bestFit="1" customWidth="1"/>
    <col min="13" max="13" width="12" bestFit="1" customWidth="1"/>
    <col min="14" max="14" width="16" bestFit="1" customWidth="1"/>
    <col min="15" max="15" width="13.7109375" bestFit="1" customWidth="1"/>
    <col min="16" max="16" width="20.28515625" customWidth="1"/>
  </cols>
  <sheetData>
    <row r="1" spans="1:1" x14ac:dyDescent="0.25">
      <c r="A1" t="s">
        <v>312</v>
      </c>
    </row>
  </sheetData>
  <autoFilter ref="A1:N18" xr:uid="{00000000-0001-0000-0300-000000000000}"/>
  <dataValidations count="1">
    <dataValidation type="list" allowBlank="1" showInputMessage="1" showErrorMessage="1" sqref="A2:A167" xr:uid="{00000000-0002-0000-0300-000000000000}">
      <formula1>"False,CANCEL"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>
      <selection activeCell="K27" sqref="K27"/>
    </sheetView>
  </sheetViews>
  <sheetFormatPr defaultRowHeight="15" x14ac:dyDescent="0.25"/>
  <cols>
    <col min="1" max="1" width="8.7109375" bestFit="1" customWidth="1"/>
    <col min="2" max="2" width="10.28515625" bestFit="1" customWidth="1"/>
    <col min="3" max="3" width="14.7109375" bestFit="1" customWidth="1"/>
    <col min="4" max="4" width="21.7109375" bestFit="1" customWidth="1"/>
    <col min="5" max="5" width="12.140625" bestFit="1" customWidth="1"/>
  </cols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233"/>
  <sheetViews>
    <sheetView zoomScale="85" zoomScaleNormal="85" workbookViewId="0">
      <selection activeCell="E14" sqref="E14"/>
    </sheetView>
  </sheetViews>
  <sheetFormatPr defaultColWidth="27.7109375" defaultRowHeight="15" x14ac:dyDescent="0.25"/>
  <cols>
    <col min="1" max="1" width="13.5703125" bestFit="1" customWidth="1"/>
    <col min="2" max="2" width="10.28515625" bestFit="1" customWidth="1"/>
    <col min="3" max="3" width="6.7109375" bestFit="1" customWidth="1"/>
    <col min="4" max="4" width="15.140625" bestFit="1" customWidth="1"/>
    <col min="5" max="5" width="13.28515625" customWidth="1"/>
    <col min="6" max="6" width="17.85546875" customWidth="1"/>
    <col min="7" max="7" width="12.140625" customWidth="1"/>
    <col min="8" max="8" width="26.5703125" bestFit="1" customWidth="1"/>
    <col min="9" max="10" width="10.28515625" bestFit="1" customWidth="1"/>
  </cols>
  <sheetData>
    <row r="1" spans="1:10" x14ac:dyDescent="0.25">
      <c r="A1" t="s">
        <v>5</v>
      </c>
      <c r="B1" t="s">
        <v>269</v>
      </c>
      <c r="C1" t="s">
        <v>29</v>
      </c>
      <c r="D1" s="86" t="s">
        <v>245</v>
      </c>
      <c r="E1" s="86"/>
      <c r="H1" s="87" t="s">
        <v>249</v>
      </c>
      <c r="I1" s="87"/>
      <c r="J1" s="87"/>
    </row>
    <row r="2" spans="1:10" x14ac:dyDescent="0.25">
      <c r="A2" t="s">
        <v>46</v>
      </c>
      <c r="B2" s="21">
        <v>45923</v>
      </c>
      <c r="C2">
        <v>75</v>
      </c>
      <c r="D2" t="s">
        <v>270</v>
      </c>
      <c r="E2" s="44" t="s">
        <v>271</v>
      </c>
      <c r="H2" s="33"/>
      <c r="I2" s="34" t="s">
        <v>276</v>
      </c>
      <c r="J2" s="35" t="s">
        <v>277</v>
      </c>
    </row>
    <row r="3" spans="1:10" x14ac:dyDescent="0.25">
      <c r="A3" t="s">
        <v>418</v>
      </c>
      <c r="B3" s="21">
        <v>45930</v>
      </c>
      <c r="C3">
        <v>75</v>
      </c>
      <c r="D3" t="s">
        <v>246</v>
      </c>
      <c r="E3" s="31" t="s">
        <v>46</v>
      </c>
      <c r="H3" s="36" t="s">
        <v>278</v>
      </c>
      <c r="I3" s="85">
        <v>25510</v>
      </c>
      <c r="J3" s="85"/>
    </row>
    <row r="4" spans="1:10" x14ac:dyDescent="0.25">
      <c r="A4" t="s">
        <v>31</v>
      </c>
      <c r="B4" s="21">
        <v>45937</v>
      </c>
      <c r="C4">
        <v>75</v>
      </c>
      <c r="D4" t="s">
        <v>272</v>
      </c>
      <c r="E4" s="32">
        <f>B2</f>
        <v>45923</v>
      </c>
      <c r="H4" s="36" t="s">
        <v>279</v>
      </c>
      <c r="I4" s="85">
        <v>25400</v>
      </c>
      <c r="J4" s="85"/>
    </row>
    <row r="5" spans="1:10" x14ac:dyDescent="0.25">
      <c r="A5" t="s">
        <v>34</v>
      </c>
      <c r="B5" s="21">
        <v>45944</v>
      </c>
      <c r="C5">
        <v>75</v>
      </c>
      <c r="D5" t="s">
        <v>247</v>
      </c>
      <c r="E5" s="31">
        <v>2</v>
      </c>
      <c r="H5" s="36" t="s">
        <v>280</v>
      </c>
      <c r="I5" s="36">
        <v>120</v>
      </c>
      <c r="J5" s="36">
        <v>51.45</v>
      </c>
    </row>
    <row r="6" spans="1:10" x14ac:dyDescent="0.25">
      <c r="A6" t="s">
        <v>357</v>
      </c>
      <c r="B6" s="21">
        <v>45950</v>
      </c>
      <c r="C6">
        <v>75</v>
      </c>
      <c r="D6" t="s">
        <v>248</v>
      </c>
      <c r="E6" s="31">
        <v>30</v>
      </c>
      <c r="H6" s="36" t="s">
        <v>281</v>
      </c>
      <c r="I6" s="85">
        <v>25400</v>
      </c>
      <c r="J6" s="85"/>
    </row>
    <row r="7" spans="1:10" x14ac:dyDescent="0.25">
      <c r="A7" t="s">
        <v>37</v>
      </c>
      <c r="B7" s="21">
        <v>45958</v>
      </c>
      <c r="C7">
        <v>75</v>
      </c>
      <c r="D7" t="s">
        <v>273</v>
      </c>
      <c r="E7" s="31" t="s">
        <v>337</v>
      </c>
      <c r="H7" s="36" t="s">
        <v>282</v>
      </c>
      <c r="I7" s="36">
        <v>120</v>
      </c>
      <c r="J7" s="36">
        <v>51.45</v>
      </c>
    </row>
    <row r="8" spans="1:10" x14ac:dyDescent="0.25">
      <c r="A8" t="s">
        <v>358</v>
      </c>
      <c r="B8" s="21">
        <v>45986</v>
      </c>
      <c r="C8">
        <v>75</v>
      </c>
      <c r="D8" t="s">
        <v>274</v>
      </c>
      <c r="E8" s="31" t="s">
        <v>275</v>
      </c>
      <c r="H8" s="36" t="s">
        <v>283</v>
      </c>
      <c r="I8" s="43">
        <v>1771015</v>
      </c>
      <c r="J8" s="43">
        <v>1936171</v>
      </c>
    </row>
    <row r="9" spans="1:10" x14ac:dyDescent="0.25">
      <c r="A9" t="s">
        <v>38</v>
      </c>
      <c r="B9" s="21">
        <v>46021</v>
      </c>
      <c r="C9">
        <v>75</v>
      </c>
      <c r="H9" s="36" t="s">
        <v>284</v>
      </c>
      <c r="I9" s="36">
        <v>543354</v>
      </c>
      <c r="J9" s="36">
        <v>503698</v>
      </c>
    </row>
    <row r="10" spans="1:10" x14ac:dyDescent="0.25">
      <c r="A10" t="s">
        <v>39</v>
      </c>
      <c r="B10" s="21">
        <v>46112</v>
      </c>
      <c r="C10">
        <v>75</v>
      </c>
      <c r="H10" s="36" t="s">
        <v>285</v>
      </c>
      <c r="I10" s="43">
        <v>153432</v>
      </c>
      <c r="J10" s="43">
        <v>137463</v>
      </c>
    </row>
    <row r="11" spans="1:10" x14ac:dyDescent="0.25">
      <c r="A11" t="s">
        <v>419</v>
      </c>
      <c r="B11" s="21">
        <v>46203</v>
      </c>
      <c r="C11">
        <v>75</v>
      </c>
      <c r="H11" s="36" t="s">
        <v>286</v>
      </c>
      <c r="I11" s="36">
        <v>25500</v>
      </c>
      <c r="J11" s="36">
        <v>25000</v>
      </c>
    </row>
    <row r="12" spans="1:10" x14ac:dyDescent="0.25">
      <c r="A12" t="s">
        <v>40</v>
      </c>
      <c r="B12" s="21">
        <v>46385</v>
      </c>
      <c r="C12">
        <v>75</v>
      </c>
      <c r="H12" s="36" t="s">
        <v>287</v>
      </c>
      <c r="I12" s="36">
        <v>64.2</v>
      </c>
      <c r="J12" s="36">
        <v>6.6</v>
      </c>
    </row>
    <row r="13" spans="1:10" x14ac:dyDescent="0.25">
      <c r="A13" t="s">
        <v>359</v>
      </c>
      <c r="B13" s="21">
        <v>46567</v>
      </c>
      <c r="C13">
        <v>75</v>
      </c>
      <c r="H13" s="36" t="s">
        <v>288</v>
      </c>
      <c r="I13" s="36">
        <v>64233</v>
      </c>
      <c r="J13" s="36">
        <v>85223</v>
      </c>
    </row>
    <row r="14" spans="1:10" x14ac:dyDescent="0.25">
      <c r="A14" t="s">
        <v>360</v>
      </c>
      <c r="B14" s="21">
        <v>46749</v>
      </c>
      <c r="C14">
        <v>75</v>
      </c>
      <c r="H14" s="36" t="s">
        <v>289</v>
      </c>
      <c r="I14" s="36">
        <v>25800</v>
      </c>
      <c r="J14" s="36">
        <v>25400</v>
      </c>
    </row>
    <row r="15" spans="1:10" x14ac:dyDescent="0.25">
      <c r="A15" t="s">
        <v>41</v>
      </c>
      <c r="B15" s="21">
        <v>46931</v>
      </c>
      <c r="C15">
        <v>75</v>
      </c>
      <c r="H15" s="36" t="s">
        <v>290</v>
      </c>
      <c r="I15" s="36">
        <v>5.75</v>
      </c>
      <c r="J15" s="36">
        <v>51.45</v>
      </c>
    </row>
    <row r="16" spans="1:10" x14ac:dyDescent="0.25">
      <c r="A16" t="s">
        <v>43</v>
      </c>
      <c r="B16" s="21">
        <v>47113</v>
      </c>
      <c r="C16">
        <v>75</v>
      </c>
      <c r="H16" s="36" t="s">
        <v>291</v>
      </c>
      <c r="I16" s="36">
        <v>20935</v>
      </c>
      <c r="J16" s="36">
        <v>10728</v>
      </c>
    </row>
    <row r="17" spans="1:10" x14ac:dyDescent="0.25">
      <c r="A17" t="s">
        <v>44</v>
      </c>
      <c r="B17" s="21">
        <v>47295</v>
      </c>
      <c r="C17">
        <v>75</v>
      </c>
      <c r="H17" s="36" t="s">
        <v>292</v>
      </c>
      <c r="I17" s="36">
        <v>25300</v>
      </c>
      <c r="J17" s="36">
        <v>24200</v>
      </c>
    </row>
    <row r="18" spans="1:10" x14ac:dyDescent="0.25">
      <c r="A18" t="s">
        <v>45</v>
      </c>
      <c r="B18" s="21">
        <v>47476</v>
      </c>
      <c r="C18">
        <v>75</v>
      </c>
      <c r="H18" s="36" t="s">
        <v>293</v>
      </c>
      <c r="I18" s="36">
        <v>194.35</v>
      </c>
      <c r="J18" s="36">
        <v>2.2999999999999998</v>
      </c>
    </row>
    <row r="19" spans="1:10" x14ac:dyDescent="0.25">
      <c r="A19" t="s">
        <v>51</v>
      </c>
      <c r="B19" s="21">
        <v>47659</v>
      </c>
      <c r="C19">
        <v>75</v>
      </c>
    </row>
    <row r="20" spans="1:10" x14ac:dyDescent="0.25">
      <c r="A20" t="s">
        <v>52</v>
      </c>
      <c r="B20" s="21"/>
    </row>
    <row r="21" spans="1:10" x14ac:dyDescent="0.25">
      <c r="A21" t="s">
        <v>53</v>
      </c>
      <c r="B21" s="21"/>
    </row>
    <row r="22" spans="1:10" x14ac:dyDescent="0.25">
      <c r="A22" t="s">
        <v>54</v>
      </c>
    </row>
    <row r="23" spans="1:10" x14ac:dyDescent="0.25">
      <c r="A23" t="s">
        <v>55</v>
      </c>
    </row>
    <row r="24" spans="1:10" x14ac:dyDescent="0.25">
      <c r="A24" t="s">
        <v>56</v>
      </c>
    </row>
    <row r="25" spans="1:10" x14ac:dyDescent="0.25">
      <c r="A25" t="s">
        <v>59</v>
      </c>
    </row>
    <row r="26" spans="1:10" x14ac:dyDescent="0.25">
      <c r="A26" t="s">
        <v>60</v>
      </c>
    </row>
    <row r="27" spans="1:10" x14ac:dyDescent="0.25">
      <c r="A27" t="s">
        <v>361</v>
      </c>
    </row>
    <row r="28" spans="1:10" x14ac:dyDescent="0.25">
      <c r="A28" t="s">
        <v>47</v>
      </c>
    </row>
    <row r="29" spans="1:10" x14ac:dyDescent="0.25">
      <c r="A29" t="s">
        <v>410</v>
      </c>
    </row>
    <row r="30" spans="1:10" x14ac:dyDescent="0.25">
      <c r="A30" t="s">
        <v>62</v>
      </c>
    </row>
    <row r="31" spans="1:10" x14ac:dyDescent="0.25">
      <c r="A31" t="s">
        <v>64</v>
      </c>
    </row>
    <row r="32" spans="1:10" x14ac:dyDescent="0.25">
      <c r="A32" t="s">
        <v>65</v>
      </c>
    </row>
    <row r="33" spans="1:1" x14ac:dyDescent="0.25">
      <c r="A33" t="s">
        <v>66</v>
      </c>
    </row>
    <row r="34" spans="1:1" x14ac:dyDescent="0.25">
      <c r="A34" t="s">
        <v>67</v>
      </c>
    </row>
    <row r="35" spans="1:1" x14ac:dyDescent="0.25">
      <c r="A35" t="s">
        <v>411</v>
      </c>
    </row>
    <row r="36" spans="1:1" x14ac:dyDescent="0.25">
      <c r="A36" t="s">
        <v>68</v>
      </c>
    </row>
    <row r="37" spans="1:1" x14ac:dyDescent="0.25">
      <c r="A37" t="s">
        <v>69</v>
      </c>
    </row>
    <row r="38" spans="1:1" x14ac:dyDescent="0.25">
      <c r="A38" t="s">
        <v>70</v>
      </c>
    </row>
    <row r="39" spans="1:1" x14ac:dyDescent="0.25">
      <c r="A39" t="s">
        <v>362</v>
      </c>
    </row>
    <row r="40" spans="1:1" x14ac:dyDescent="0.25">
      <c r="A40" t="s">
        <v>363</v>
      </c>
    </row>
    <row r="41" spans="1:1" x14ac:dyDescent="0.25">
      <c r="A41" t="s">
        <v>72</v>
      </c>
    </row>
    <row r="42" spans="1:1" x14ac:dyDescent="0.25">
      <c r="A42" t="s">
        <v>364</v>
      </c>
    </row>
    <row r="43" spans="1:1" x14ac:dyDescent="0.25">
      <c r="A43" t="s">
        <v>365</v>
      </c>
    </row>
    <row r="44" spans="1:1" x14ac:dyDescent="0.25">
      <c r="A44" t="s">
        <v>75</v>
      </c>
    </row>
    <row r="45" spans="1:1" x14ac:dyDescent="0.25">
      <c r="A45" t="s">
        <v>76</v>
      </c>
    </row>
    <row r="46" spans="1:1" x14ac:dyDescent="0.25">
      <c r="A46" t="s">
        <v>77</v>
      </c>
    </row>
    <row r="47" spans="1:1" x14ac:dyDescent="0.25">
      <c r="A47" t="s">
        <v>78</v>
      </c>
    </row>
    <row r="48" spans="1:1" x14ac:dyDescent="0.25">
      <c r="A48" t="s">
        <v>79</v>
      </c>
    </row>
    <row r="49" spans="1:1" x14ac:dyDescent="0.25">
      <c r="A49" t="s">
        <v>80</v>
      </c>
    </row>
    <row r="50" spans="1:1" x14ac:dyDescent="0.25">
      <c r="A50" t="s">
        <v>82</v>
      </c>
    </row>
    <row r="51" spans="1:1" x14ac:dyDescent="0.25">
      <c r="A51" t="s">
        <v>84</v>
      </c>
    </row>
    <row r="52" spans="1:1" x14ac:dyDescent="0.25">
      <c r="A52" t="s">
        <v>366</v>
      </c>
    </row>
    <row r="53" spans="1:1" x14ac:dyDescent="0.25">
      <c r="A53" t="s">
        <v>85</v>
      </c>
    </row>
    <row r="54" spans="1:1" x14ac:dyDescent="0.25">
      <c r="A54" t="s">
        <v>86</v>
      </c>
    </row>
    <row r="55" spans="1:1" x14ac:dyDescent="0.25">
      <c r="A55" t="s">
        <v>367</v>
      </c>
    </row>
    <row r="56" spans="1:1" x14ac:dyDescent="0.25">
      <c r="A56" t="s">
        <v>89</v>
      </c>
    </row>
    <row r="57" spans="1:1" x14ac:dyDescent="0.25">
      <c r="A57" t="s">
        <v>90</v>
      </c>
    </row>
    <row r="58" spans="1:1" x14ac:dyDescent="0.25">
      <c r="A58" t="s">
        <v>91</v>
      </c>
    </row>
    <row r="59" spans="1:1" x14ac:dyDescent="0.25">
      <c r="A59" t="s">
        <v>368</v>
      </c>
    </row>
    <row r="60" spans="1:1" x14ac:dyDescent="0.25">
      <c r="A60" t="s">
        <v>92</v>
      </c>
    </row>
    <row r="61" spans="1:1" x14ac:dyDescent="0.25">
      <c r="A61" t="s">
        <v>93</v>
      </c>
    </row>
    <row r="62" spans="1:1" x14ac:dyDescent="0.25">
      <c r="A62" t="s">
        <v>369</v>
      </c>
    </row>
    <row r="63" spans="1:1" x14ac:dyDescent="0.25">
      <c r="A63" t="s">
        <v>95</v>
      </c>
    </row>
    <row r="64" spans="1:1" x14ac:dyDescent="0.25">
      <c r="A64" t="s">
        <v>96</v>
      </c>
    </row>
    <row r="65" spans="1:1" x14ac:dyDescent="0.25">
      <c r="A65" t="s">
        <v>48</v>
      </c>
    </row>
    <row r="66" spans="1:1" x14ac:dyDescent="0.25">
      <c r="A66" t="s">
        <v>347</v>
      </c>
    </row>
    <row r="67" spans="1:1" x14ac:dyDescent="0.25">
      <c r="A67" t="s">
        <v>97</v>
      </c>
    </row>
    <row r="68" spans="1:1" x14ac:dyDescent="0.25">
      <c r="A68" t="s">
        <v>98</v>
      </c>
    </row>
    <row r="69" spans="1:1" x14ac:dyDescent="0.25">
      <c r="A69" t="s">
        <v>370</v>
      </c>
    </row>
    <row r="70" spans="1:1" x14ac:dyDescent="0.25">
      <c r="A70" t="s">
        <v>101</v>
      </c>
    </row>
    <row r="71" spans="1:1" x14ac:dyDescent="0.25">
      <c r="A71" t="s">
        <v>102</v>
      </c>
    </row>
    <row r="72" spans="1:1" x14ac:dyDescent="0.25">
      <c r="A72" t="s">
        <v>104</v>
      </c>
    </row>
    <row r="73" spans="1:1" x14ac:dyDescent="0.25">
      <c r="A73" t="s">
        <v>106</v>
      </c>
    </row>
    <row r="74" spans="1:1" x14ac:dyDescent="0.25">
      <c r="A74" t="s">
        <v>107</v>
      </c>
    </row>
    <row r="75" spans="1:1" x14ac:dyDescent="0.25">
      <c r="A75" t="s">
        <v>108</v>
      </c>
    </row>
    <row r="76" spans="1:1" x14ac:dyDescent="0.25">
      <c r="A76" t="s">
        <v>109</v>
      </c>
    </row>
    <row r="77" spans="1:1" x14ac:dyDescent="0.25">
      <c r="A77" t="s">
        <v>110</v>
      </c>
    </row>
    <row r="78" spans="1:1" x14ac:dyDescent="0.25">
      <c r="A78" t="s">
        <v>111</v>
      </c>
    </row>
    <row r="79" spans="1:1" x14ac:dyDescent="0.25">
      <c r="A79" t="s">
        <v>112</v>
      </c>
    </row>
    <row r="80" spans="1:1" x14ac:dyDescent="0.25">
      <c r="A80" t="s">
        <v>371</v>
      </c>
    </row>
    <row r="81" spans="1:1" x14ac:dyDescent="0.25">
      <c r="A81" t="s">
        <v>113</v>
      </c>
    </row>
    <row r="82" spans="1:1" x14ac:dyDescent="0.25">
      <c r="A82" t="s">
        <v>115</v>
      </c>
    </row>
    <row r="83" spans="1:1" x14ac:dyDescent="0.25">
      <c r="A83" t="s">
        <v>116</v>
      </c>
    </row>
    <row r="84" spans="1:1" x14ac:dyDescent="0.25">
      <c r="A84" t="s">
        <v>372</v>
      </c>
    </row>
    <row r="85" spans="1:1" x14ac:dyDescent="0.25">
      <c r="A85" t="s">
        <v>373</v>
      </c>
    </row>
    <row r="86" spans="1:1" x14ac:dyDescent="0.25">
      <c r="A86" t="s">
        <v>118</v>
      </c>
    </row>
    <row r="87" spans="1:1" x14ac:dyDescent="0.25">
      <c r="A87" t="s">
        <v>119</v>
      </c>
    </row>
    <row r="88" spans="1:1" x14ac:dyDescent="0.25">
      <c r="A88" t="s">
        <v>120</v>
      </c>
    </row>
    <row r="89" spans="1:1" x14ac:dyDescent="0.25">
      <c r="A89" t="s">
        <v>121</v>
      </c>
    </row>
    <row r="90" spans="1:1" x14ac:dyDescent="0.25">
      <c r="A90" t="s">
        <v>123</v>
      </c>
    </row>
    <row r="91" spans="1:1" x14ac:dyDescent="0.25">
      <c r="A91" t="s">
        <v>124</v>
      </c>
    </row>
    <row r="92" spans="1:1" x14ac:dyDescent="0.25">
      <c r="A92" t="s">
        <v>125</v>
      </c>
    </row>
    <row r="93" spans="1:1" x14ac:dyDescent="0.25">
      <c r="A93" t="s">
        <v>374</v>
      </c>
    </row>
    <row r="94" spans="1:1" x14ac:dyDescent="0.25">
      <c r="A94" t="s">
        <v>126</v>
      </c>
    </row>
    <row r="95" spans="1:1" x14ac:dyDescent="0.25">
      <c r="A95" t="s">
        <v>375</v>
      </c>
    </row>
    <row r="96" spans="1:1" x14ac:dyDescent="0.25">
      <c r="A96" t="s">
        <v>129</v>
      </c>
    </row>
    <row r="97" spans="1:1" x14ac:dyDescent="0.25">
      <c r="A97" t="s">
        <v>130</v>
      </c>
    </row>
    <row r="98" spans="1:1" x14ac:dyDescent="0.25">
      <c r="A98" t="s">
        <v>131</v>
      </c>
    </row>
    <row r="99" spans="1:1" x14ac:dyDescent="0.25">
      <c r="A99" t="s">
        <v>132</v>
      </c>
    </row>
    <row r="100" spans="1:1" x14ac:dyDescent="0.25">
      <c r="A100" t="s">
        <v>376</v>
      </c>
    </row>
    <row r="101" spans="1:1" x14ac:dyDescent="0.25">
      <c r="A101" t="s">
        <v>133</v>
      </c>
    </row>
    <row r="102" spans="1:1" x14ac:dyDescent="0.25">
      <c r="A102" t="s">
        <v>135</v>
      </c>
    </row>
    <row r="103" spans="1:1" x14ac:dyDescent="0.25">
      <c r="A103" t="s">
        <v>377</v>
      </c>
    </row>
    <row r="104" spans="1:1" x14ac:dyDescent="0.25">
      <c r="A104" t="s">
        <v>378</v>
      </c>
    </row>
    <row r="105" spans="1:1" x14ac:dyDescent="0.25">
      <c r="A105" t="s">
        <v>32</v>
      </c>
    </row>
    <row r="106" spans="1:1" x14ac:dyDescent="0.25">
      <c r="A106" t="s">
        <v>136</v>
      </c>
    </row>
    <row r="107" spans="1:1" x14ac:dyDescent="0.25">
      <c r="A107" t="s">
        <v>379</v>
      </c>
    </row>
    <row r="108" spans="1:1" x14ac:dyDescent="0.25">
      <c r="A108" t="s">
        <v>380</v>
      </c>
    </row>
    <row r="109" spans="1:1" x14ac:dyDescent="0.25">
      <c r="A109" t="s">
        <v>138</v>
      </c>
    </row>
    <row r="110" spans="1:1" x14ac:dyDescent="0.25">
      <c r="A110" t="s">
        <v>139</v>
      </c>
    </row>
    <row r="111" spans="1:1" x14ac:dyDescent="0.25">
      <c r="A111" t="s">
        <v>381</v>
      </c>
    </row>
    <row r="112" spans="1:1" x14ac:dyDescent="0.25">
      <c r="A112" t="s">
        <v>412</v>
      </c>
    </row>
    <row r="113" spans="1:1" x14ac:dyDescent="0.25">
      <c r="A113" t="s">
        <v>382</v>
      </c>
    </row>
    <row r="114" spans="1:1" x14ac:dyDescent="0.25">
      <c r="A114" t="s">
        <v>420</v>
      </c>
    </row>
    <row r="115" spans="1:1" x14ac:dyDescent="0.25">
      <c r="A115" t="s">
        <v>140</v>
      </c>
    </row>
    <row r="116" spans="1:1" x14ac:dyDescent="0.25">
      <c r="A116" t="s">
        <v>383</v>
      </c>
    </row>
    <row r="117" spans="1:1" x14ac:dyDescent="0.25">
      <c r="A117" t="s">
        <v>143</v>
      </c>
    </row>
    <row r="118" spans="1:1" x14ac:dyDescent="0.25">
      <c r="A118" t="s">
        <v>144</v>
      </c>
    </row>
    <row r="119" spans="1:1" x14ac:dyDescent="0.25">
      <c r="A119" t="s">
        <v>384</v>
      </c>
    </row>
    <row r="120" spans="1:1" x14ac:dyDescent="0.25">
      <c r="A120" t="s">
        <v>385</v>
      </c>
    </row>
    <row r="121" spans="1:1" x14ac:dyDescent="0.25">
      <c r="A121" t="s">
        <v>145</v>
      </c>
    </row>
    <row r="122" spans="1:1" x14ac:dyDescent="0.25">
      <c r="A122" t="s">
        <v>354</v>
      </c>
    </row>
    <row r="123" spans="1:1" x14ac:dyDescent="0.25">
      <c r="A123" t="s">
        <v>261</v>
      </c>
    </row>
    <row r="124" spans="1:1" x14ac:dyDescent="0.25">
      <c r="A124" t="s">
        <v>147</v>
      </c>
    </row>
    <row r="125" spans="1:1" x14ac:dyDescent="0.25">
      <c r="A125" t="s">
        <v>148</v>
      </c>
    </row>
    <row r="126" spans="1:1" x14ac:dyDescent="0.25">
      <c r="A126" t="s">
        <v>150</v>
      </c>
    </row>
    <row r="127" spans="1:1" x14ac:dyDescent="0.25">
      <c r="A127" t="s">
        <v>413</v>
      </c>
    </row>
    <row r="128" spans="1:1" x14ac:dyDescent="0.25">
      <c r="A128" t="s">
        <v>151</v>
      </c>
    </row>
    <row r="129" spans="1:1" x14ac:dyDescent="0.25">
      <c r="A129" t="s">
        <v>152</v>
      </c>
    </row>
    <row r="130" spans="1:1" x14ac:dyDescent="0.25">
      <c r="A130" t="s">
        <v>386</v>
      </c>
    </row>
    <row r="131" spans="1:1" x14ac:dyDescent="0.25">
      <c r="A131" t="s">
        <v>414</v>
      </c>
    </row>
    <row r="132" spans="1:1" x14ac:dyDescent="0.25">
      <c r="A132" t="s">
        <v>154</v>
      </c>
    </row>
    <row r="133" spans="1:1" x14ac:dyDescent="0.25">
      <c r="A133" t="s">
        <v>156</v>
      </c>
    </row>
    <row r="134" spans="1:1" x14ac:dyDescent="0.25">
      <c r="A134" t="s">
        <v>158</v>
      </c>
    </row>
    <row r="135" spans="1:1" x14ac:dyDescent="0.25">
      <c r="A135" t="s">
        <v>159</v>
      </c>
    </row>
    <row r="136" spans="1:1" x14ac:dyDescent="0.25">
      <c r="A136" t="s">
        <v>160</v>
      </c>
    </row>
    <row r="137" spans="1:1" x14ac:dyDescent="0.25">
      <c r="A137" t="s">
        <v>162</v>
      </c>
    </row>
    <row r="138" spans="1:1" x14ac:dyDescent="0.25">
      <c r="A138" t="s">
        <v>163</v>
      </c>
    </row>
    <row r="139" spans="1:1" x14ac:dyDescent="0.25">
      <c r="A139" t="s">
        <v>164</v>
      </c>
    </row>
    <row r="140" spans="1:1" x14ac:dyDescent="0.25">
      <c r="A140" t="s">
        <v>387</v>
      </c>
    </row>
    <row r="141" spans="1:1" x14ac:dyDescent="0.25">
      <c r="A141" t="s">
        <v>388</v>
      </c>
    </row>
    <row r="142" spans="1:1" x14ac:dyDescent="0.25">
      <c r="A142" t="s">
        <v>166</v>
      </c>
    </row>
    <row r="143" spans="1:1" x14ac:dyDescent="0.25">
      <c r="A143" t="s">
        <v>389</v>
      </c>
    </row>
    <row r="144" spans="1:1" x14ac:dyDescent="0.25">
      <c r="A144" t="s">
        <v>356</v>
      </c>
    </row>
    <row r="145" spans="1:1" x14ac:dyDescent="0.25">
      <c r="A145" t="s">
        <v>167</v>
      </c>
    </row>
    <row r="146" spans="1:1" x14ac:dyDescent="0.25">
      <c r="A146" t="s">
        <v>168</v>
      </c>
    </row>
    <row r="147" spans="1:1" x14ac:dyDescent="0.25">
      <c r="A147" t="s">
        <v>422</v>
      </c>
    </row>
    <row r="148" spans="1:1" x14ac:dyDescent="0.25">
      <c r="A148" t="s">
        <v>390</v>
      </c>
    </row>
    <row r="149" spans="1:1" x14ac:dyDescent="0.25">
      <c r="A149" t="s">
        <v>169</v>
      </c>
    </row>
    <row r="150" spans="1:1" x14ac:dyDescent="0.25">
      <c r="A150" t="s">
        <v>170</v>
      </c>
    </row>
    <row r="151" spans="1:1" x14ac:dyDescent="0.25">
      <c r="A151" t="s">
        <v>391</v>
      </c>
    </row>
    <row r="152" spans="1:1" x14ac:dyDescent="0.25">
      <c r="A152" t="s">
        <v>171</v>
      </c>
    </row>
    <row r="153" spans="1:1" x14ac:dyDescent="0.25">
      <c r="A153" t="s">
        <v>172</v>
      </c>
    </row>
    <row r="154" spans="1:1" x14ac:dyDescent="0.25">
      <c r="A154" t="s">
        <v>392</v>
      </c>
    </row>
    <row r="155" spans="1:1" x14ac:dyDescent="0.25">
      <c r="A155" t="s">
        <v>393</v>
      </c>
    </row>
    <row r="156" spans="1:1" x14ac:dyDescent="0.25">
      <c r="A156" t="s">
        <v>174</v>
      </c>
    </row>
    <row r="157" spans="1:1" x14ac:dyDescent="0.25">
      <c r="A157" t="s">
        <v>175</v>
      </c>
    </row>
    <row r="158" spans="1:1" x14ac:dyDescent="0.25">
      <c r="A158" t="s">
        <v>176</v>
      </c>
    </row>
    <row r="159" spans="1:1" x14ac:dyDescent="0.25">
      <c r="A159" t="s">
        <v>421</v>
      </c>
    </row>
    <row r="160" spans="1:1" x14ac:dyDescent="0.25">
      <c r="A160" t="s">
        <v>394</v>
      </c>
    </row>
    <row r="161" spans="1:1" x14ac:dyDescent="0.25">
      <c r="A161" t="s">
        <v>177</v>
      </c>
    </row>
    <row r="162" spans="1:1" x14ac:dyDescent="0.25">
      <c r="A162" t="s">
        <v>178</v>
      </c>
    </row>
    <row r="163" spans="1:1" x14ac:dyDescent="0.25">
      <c r="A163" t="s">
        <v>179</v>
      </c>
    </row>
    <row r="164" spans="1:1" x14ac:dyDescent="0.25">
      <c r="A164" t="s">
        <v>395</v>
      </c>
    </row>
    <row r="165" spans="1:1" x14ac:dyDescent="0.25">
      <c r="A165" t="s">
        <v>396</v>
      </c>
    </row>
    <row r="166" spans="1:1" x14ac:dyDescent="0.25">
      <c r="A166" t="s">
        <v>180</v>
      </c>
    </row>
    <row r="167" spans="1:1" x14ac:dyDescent="0.25">
      <c r="A167" t="s">
        <v>181</v>
      </c>
    </row>
    <row r="168" spans="1:1" x14ac:dyDescent="0.25">
      <c r="A168" t="s">
        <v>415</v>
      </c>
    </row>
    <row r="169" spans="1:1" x14ac:dyDescent="0.25">
      <c r="A169" t="s">
        <v>397</v>
      </c>
    </row>
    <row r="170" spans="1:1" x14ac:dyDescent="0.25">
      <c r="A170" t="s">
        <v>183</v>
      </c>
    </row>
    <row r="171" spans="1:1" x14ac:dyDescent="0.25">
      <c r="A171" t="s">
        <v>184</v>
      </c>
    </row>
    <row r="172" spans="1:1" x14ac:dyDescent="0.25">
      <c r="A172" t="s">
        <v>185</v>
      </c>
    </row>
    <row r="173" spans="1:1" x14ac:dyDescent="0.25">
      <c r="A173" t="s">
        <v>416</v>
      </c>
    </row>
    <row r="174" spans="1:1" x14ac:dyDescent="0.25">
      <c r="A174" t="s">
        <v>186</v>
      </c>
    </row>
    <row r="175" spans="1:1" x14ac:dyDescent="0.25">
      <c r="A175" t="s">
        <v>443</v>
      </c>
    </row>
    <row r="176" spans="1:1" x14ac:dyDescent="0.25">
      <c r="A176" t="s">
        <v>187</v>
      </c>
    </row>
    <row r="177" spans="1:1" x14ac:dyDescent="0.25">
      <c r="A177" t="s">
        <v>188</v>
      </c>
    </row>
    <row r="178" spans="1:1" x14ac:dyDescent="0.25">
      <c r="A178" t="s">
        <v>189</v>
      </c>
    </row>
    <row r="179" spans="1:1" x14ac:dyDescent="0.25">
      <c r="A179" t="s">
        <v>190</v>
      </c>
    </row>
    <row r="180" spans="1:1" x14ac:dyDescent="0.25">
      <c r="A180" t="s">
        <v>262</v>
      </c>
    </row>
    <row r="181" spans="1:1" x14ac:dyDescent="0.25">
      <c r="A181" t="s">
        <v>191</v>
      </c>
    </row>
    <row r="182" spans="1:1" x14ac:dyDescent="0.25">
      <c r="A182" t="s">
        <v>398</v>
      </c>
    </row>
    <row r="183" spans="1:1" x14ac:dyDescent="0.25">
      <c r="A183" t="s">
        <v>399</v>
      </c>
    </row>
    <row r="184" spans="1:1" x14ac:dyDescent="0.25">
      <c r="A184" t="s">
        <v>192</v>
      </c>
    </row>
    <row r="185" spans="1:1" x14ac:dyDescent="0.25">
      <c r="A185" t="s">
        <v>193</v>
      </c>
    </row>
    <row r="186" spans="1:1" x14ac:dyDescent="0.25">
      <c r="A186" t="s">
        <v>400</v>
      </c>
    </row>
    <row r="187" spans="1:1" x14ac:dyDescent="0.25">
      <c r="A187" t="s">
        <v>423</v>
      </c>
    </row>
    <row r="188" spans="1:1" x14ac:dyDescent="0.25">
      <c r="A188" t="s">
        <v>195</v>
      </c>
    </row>
    <row r="189" spans="1:1" x14ac:dyDescent="0.25">
      <c r="A189" t="s">
        <v>196</v>
      </c>
    </row>
    <row r="190" spans="1:1" x14ac:dyDescent="0.25">
      <c r="A190" t="s">
        <v>198</v>
      </c>
    </row>
    <row r="191" spans="1:1" x14ac:dyDescent="0.25">
      <c r="A191" t="s">
        <v>401</v>
      </c>
    </row>
    <row r="192" spans="1:1" x14ac:dyDescent="0.25">
      <c r="A192" t="s">
        <v>199</v>
      </c>
    </row>
    <row r="193" spans="1:1" x14ac:dyDescent="0.25">
      <c r="A193" t="s">
        <v>200</v>
      </c>
    </row>
    <row r="194" spans="1:1" x14ac:dyDescent="0.25">
      <c r="A194" t="s">
        <v>201</v>
      </c>
    </row>
    <row r="195" spans="1:1" x14ac:dyDescent="0.25">
      <c r="A195" t="s">
        <v>402</v>
      </c>
    </row>
    <row r="196" spans="1:1" x14ac:dyDescent="0.25">
      <c r="A196" t="s">
        <v>202</v>
      </c>
    </row>
    <row r="197" spans="1:1" x14ac:dyDescent="0.25">
      <c r="A197" t="s">
        <v>203</v>
      </c>
    </row>
    <row r="198" spans="1:1" x14ac:dyDescent="0.25">
      <c r="A198" t="s">
        <v>403</v>
      </c>
    </row>
    <row r="199" spans="1:1" x14ac:dyDescent="0.25">
      <c r="A199" t="s">
        <v>404</v>
      </c>
    </row>
    <row r="200" spans="1:1" x14ac:dyDescent="0.25">
      <c r="A200" t="s">
        <v>204</v>
      </c>
    </row>
    <row r="201" spans="1:1" x14ac:dyDescent="0.25">
      <c r="A201" t="s">
        <v>205</v>
      </c>
    </row>
    <row r="202" spans="1:1" x14ac:dyDescent="0.25">
      <c r="A202" t="s">
        <v>405</v>
      </c>
    </row>
    <row r="203" spans="1:1" x14ac:dyDescent="0.25">
      <c r="A203" t="s">
        <v>206</v>
      </c>
    </row>
    <row r="204" spans="1:1" x14ac:dyDescent="0.25">
      <c r="A204" t="s">
        <v>207</v>
      </c>
    </row>
    <row r="205" spans="1:1" x14ac:dyDescent="0.25">
      <c r="A205" t="s">
        <v>209</v>
      </c>
    </row>
    <row r="206" spans="1:1" x14ac:dyDescent="0.25">
      <c r="A206" t="s">
        <v>406</v>
      </c>
    </row>
    <row r="207" spans="1:1" x14ac:dyDescent="0.25">
      <c r="A207" t="s">
        <v>355</v>
      </c>
    </row>
    <row r="208" spans="1:1" x14ac:dyDescent="0.25">
      <c r="A208" t="s">
        <v>417</v>
      </c>
    </row>
    <row r="209" spans="1:1" x14ac:dyDescent="0.25">
      <c r="A209" t="s">
        <v>210</v>
      </c>
    </row>
    <row r="210" spans="1:1" x14ac:dyDescent="0.25">
      <c r="A210" t="s">
        <v>407</v>
      </c>
    </row>
    <row r="211" spans="1:1" x14ac:dyDescent="0.25">
      <c r="A211" t="s">
        <v>211</v>
      </c>
    </row>
    <row r="212" spans="1:1" x14ac:dyDescent="0.25">
      <c r="A212" t="s">
        <v>212</v>
      </c>
    </row>
    <row r="213" spans="1:1" x14ac:dyDescent="0.25">
      <c r="A213" t="s">
        <v>213</v>
      </c>
    </row>
    <row r="214" spans="1:1" x14ac:dyDescent="0.25">
      <c r="A214" t="s">
        <v>408</v>
      </c>
    </row>
    <row r="215" spans="1:1" x14ac:dyDescent="0.25">
      <c r="A215" t="s">
        <v>215</v>
      </c>
    </row>
    <row r="216" spans="1:1" x14ac:dyDescent="0.25">
      <c r="A216" t="s">
        <v>315</v>
      </c>
    </row>
    <row r="217" spans="1:1" x14ac:dyDescent="0.25">
      <c r="A217" t="s">
        <v>316</v>
      </c>
    </row>
    <row r="218" spans="1:1" x14ac:dyDescent="0.25">
      <c r="A218" t="s">
        <v>317</v>
      </c>
    </row>
    <row r="219" spans="1:1" x14ac:dyDescent="0.25">
      <c r="A219" t="s">
        <v>318</v>
      </c>
    </row>
    <row r="220" spans="1:1" x14ac:dyDescent="0.25">
      <c r="A220" t="s">
        <v>319</v>
      </c>
    </row>
    <row r="221" spans="1:1" x14ac:dyDescent="0.25">
      <c r="A221" t="s">
        <v>320</v>
      </c>
    </row>
    <row r="222" spans="1:1" x14ac:dyDescent="0.25">
      <c r="A222" t="s">
        <v>321</v>
      </c>
    </row>
    <row r="223" spans="1:1" x14ac:dyDescent="0.25">
      <c r="A223" t="s">
        <v>322</v>
      </c>
    </row>
    <row r="224" spans="1:1" x14ac:dyDescent="0.25">
      <c r="A224" t="s">
        <v>323</v>
      </c>
    </row>
    <row r="225" spans="1:1" x14ac:dyDescent="0.25">
      <c r="A225" t="s">
        <v>324</v>
      </c>
    </row>
    <row r="226" spans="1:1" x14ac:dyDescent="0.25">
      <c r="A226" t="s">
        <v>325</v>
      </c>
    </row>
    <row r="227" spans="1:1" x14ac:dyDescent="0.25">
      <c r="A227" t="s">
        <v>326</v>
      </c>
    </row>
    <row r="228" spans="1:1" x14ac:dyDescent="0.25">
      <c r="A228" t="s">
        <v>327</v>
      </c>
    </row>
    <row r="229" spans="1:1" x14ac:dyDescent="0.25">
      <c r="A229" t="s">
        <v>328</v>
      </c>
    </row>
    <row r="230" spans="1:1" x14ac:dyDescent="0.25">
      <c r="A230" t="s">
        <v>329</v>
      </c>
    </row>
    <row r="231" spans="1:1" x14ac:dyDescent="0.25">
      <c r="A231" t="s">
        <v>330</v>
      </c>
    </row>
    <row r="232" spans="1:1" x14ac:dyDescent="0.25">
      <c r="A232" t="s">
        <v>352</v>
      </c>
    </row>
    <row r="233" spans="1:1" x14ac:dyDescent="0.25">
      <c r="A233" t="s">
        <v>353</v>
      </c>
    </row>
  </sheetData>
  <mergeCells count="5">
    <mergeCell ref="I6:J6"/>
    <mergeCell ref="D1:E1"/>
    <mergeCell ref="H1:J1"/>
    <mergeCell ref="I3:J3"/>
    <mergeCell ref="I4:J4"/>
  </mergeCells>
  <dataValidations count="3">
    <dataValidation type="list" allowBlank="1" showInputMessage="1" showErrorMessage="1" sqref="E2" xr:uid="{FF14B7CF-0574-4E85-93AA-BD44D825B19E}">
      <formula1>"NFO-OPT,BFO-OPT,CDS-OPT,MCX-OPT"</formula1>
    </dataValidation>
    <dataValidation type="list" allowBlank="1" showInputMessage="1" showErrorMessage="1" sqref="E7" xr:uid="{6E107BD7-4CCC-4285-A539-38497CCAA285}">
      <formula1>"MONTHLY,WEEKLY"</formula1>
    </dataValidation>
    <dataValidation type="list" allowBlank="1" showInputMessage="1" showErrorMessage="1" sqref="E8" xr:uid="{859F9223-884A-4D2F-B16B-CF7D5355D569}">
      <formula1>"NSE,SENSIBULL"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E500"/>
  <sheetViews>
    <sheetView zoomScale="85" zoomScaleNormal="85" workbookViewId="0">
      <pane ySplit="2" topLeftCell="A11" activePane="bottomLeft" state="frozen"/>
      <selection pane="bottomLeft" activeCell="Y33" sqref="Y33"/>
    </sheetView>
  </sheetViews>
  <sheetFormatPr defaultRowHeight="15" x14ac:dyDescent="0.25"/>
  <cols>
    <col min="12" max="15" width="0" hidden="1" customWidth="1"/>
    <col min="17" max="20" width="0" hidden="1" customWidth="1"/>
  </cols>
  <sheetData>
    <row r="1" spans="1:31" ht="30.75" thickBot="1" x14ac:dyDescent="0.3">
      <c r="A1" s="88" t="s">
        <v>250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25" t="s">
        <v>263</v>
      </c>
      <c r="Q1" s="88" t="s">
        <v>251</v>
      </c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88"/>
      <c r="AD1" s="88"/>
      <c r="AE1" s="88"/>
    </row>
    <row r="2" spans="1:31" x14ac:dyDescent="0.25">
      <c r="A2" s="24" t="s">
        <v>252</v>
      </c>
      <c r="B2" s="24" t="s">
        <v>264</v>
      </c>
      <c r="C2" s="24" t="s">
        <v>265</v>
      </c>
      <c r="D2" s="24" t="s">
        <v>266</v>
      </c>
      <c r="E2" s="24" t="s">
        <v>267</v>
      </c>
      <c r="F2" s="24" t="s">
        <v>49</v>
      </c>
      <c r="G2" s="22" t="s">
        <v>253</v>
      </c>
      <c r="H2" s="22" t="s">
        <v>254</v>
      </c>
      <c r="I2" s="22" t="s">
        <v>255</v>
      </c>
      <c r="J2" s="22" t="s">
        <v>14</v>
      </c>
      <c r="K2" s="22" t="s">
        <v>256</v>
      </c>
      <c r="L2" s="22" t="s">
        <v>257</v>
      </c>
      <c r="M2" s="22" t="s">
        <v>258</v>
      </c>
      <c r="N2" s="22" t="s">
        <v>259</v>
      </c>
      <c r="O2" s="22" t="s">
        <v>260</v>
      </c>
      <c r="P2" s="22" t="s">
        <v>268</v>
      </c>
      <c r="Q2" s="22" t="s">
        <v>257</v>
      </c>
      <c r="R2" s="22" t="s">
        <v>258</v>
      </c>
      <c r="S2" s="22" t="s">
        <v>259</v>
      </c>
      <c r="T2" s="22" t="s">
        <v>260</v>
      </c>
      <c r="U2" s="22" t="s">
        <v>256</v>
      </c>
      <c r="V2" s="22" t="s">
        <v>14</v>
      </c>
      <c r="W2" s="22" t="s">
        <v>255</v>
      </c>
      <c r="X2" s="22" t="s">
        <v>254</v>
      </c>
      <c r="Y2" s="26" t="s">
        <v>253</v>
      </c>
      <c r="Z2" s="27" t="s">
        <v>49</v>
      </c>
      <c r="AA2" s="27" t="s">
        <v>267</v>
      </c>
      <c r="AB2" s="27" t="s">
        <v>266</v>
      </c>
      <c r="AC2" s="27" t="s">
        <v>265</v>
      </c>
      <c r="AD2" s="27" t="s">
        <v>264</v>
      </c>
      <c r="AE2" s="24" t="s">
        <v>252</v>
      </c>
    </row>
    <row r="3" spans="1:31" x14ac:dyDescent="0.25">
      <c r="A3" s="28">
        <v>0.99</v>
      </c>
      <c r="B3" s="28">
        <v>0</v>
      </c>
      <c r="C3" s="28">
        <v>-1.42</v>
      </c>
      <c r="D3" s="28">
        <v>0.65</v>
      </c>
      <c r="E3" s="28">
        <v>0.32700000000000001</v>
      </c>
      <c r="F3" s="28">
        <v>15</v>
      </c>
      <c r="G3" s="28">
        <v>0</v>
      </c>
      <c r="H3" s="28">
        <v>0</v>
      </c>
      <c r="I3" s="28">
        <v>22.54</v>
      </c>
      <c r="J3" s="28">
        <v>1397</v>
      </c>
      <c r="K3" s="28">
        <v>0.32</v>
      </c>
      <c r="L3" s="28" t="s">
        <v>22</v>
      </c>
      <c r="M3" s="28">
        <v>1369.65</v>
      </c>
      <c r="N3" s="28">
        <v>1704.4</v>
      </c>
      <c r="O3" s="28" t="s">
        <v>22</v>
      </c>
      <c r="P3" s="29">
        <v>23900</v>
      </c>
      <c r="Q3" s="28" t="s">
        <v>22</v>
      </c>
      <c r="R3" s="28">
        <v>1.8</v>
      </c>
      <c r="S3" s="28">
        <v>1.85</v>
      </c>
      <c r="T3" s="28" t="s">
        <v>22</v>
      </c>
      <c r="U3" s="28">
        <v>-38.979999999999997</v>
      </c>
      <c r="V3" s="28">
        <v>1.8</v>
      </c>
      <c r="W3" s="28">
        <v>22.54</v>
      </c>
      <c r="X3" s="28">
        <v>90510</v>
      </c>
      <c r="Y3" s="28">
        <v>-6754</v>
      </c>
      <c r="Z3" s="28">
        <v>11864</v>
      </c>
      <c r="AA3" s="28">
        <v>-3.0000000000000001E-3</v>
      </c>
      <c r="AB3" s="28">
        <v>0.65</v>
      </c>
      <c r="AC3" s="28">
        <v>-1.42</v>
      </c>
      <c r="AD3" s="28">
        <v>0</v>
      </c>
      <c r="AE3" s="28">
        <v>-0.01</v>
      </c>
    </row>
    <row r="4" spans="1:31" x14ac:dyDescent="0.25">
      <c r="A4" s="28">
        <v>0.99</v>
      </c>
      <c r="B4" s="28">
        <v>0</v>
      </c>
      <c r="C4" s="28">
        <v>-1.51</v>
      </c>
      <c r="D4" s="28">
        <v>0.71</v>
      </c>
      <c r="E4" s="28">
        <v>0.32800000000000001</v>
      </c>
      <c r="F4" s="28">
        <v>4</v>
      </c>
      <c r="G4" s="28">
        <v>0</v>
      </c>
      <c r="H4" s="28">
        <v>0</v>
      </c>
      <c r="I4" s="28">
        <v>22.1</v>
      </c>
      <c r="J4" s="28">
        <v>946.65</v>
      </c>
      <c r="K4" s="28">
        <v>0</v>
      </c>
      <c r="L4" s="28" t="s">
        <v>22</v>
      </c>
      <c r="M4" s="28">
        <v>1468.45</v>
      </c>
      <c r="N4" s="28">
        <v>1576.65</v>
      </c>
      <c r="O4" s="28" t="s">
        <v>22</v>
      </c>
      <c r="P4" s="29">
        <v>23950</v>
      </c>
      <c r="Q4" s="28" t="s">
        <v>22</v>
      </c>
      <c r="R4" s="28">
        <v>1.75</v>
      </c>
      <c r="S4" s="28">
        <v>1.95</v>
      </c>
      <c r="T4" s="28" t="s">
        <v>22</v>
      </c>
      <c r="U4" s="28">
        <v>-37.1</v>
      </c>
      <c r="V4" s="28">
        <v>1.95</v>
      </c>
      <c r="W4" s="28">
        <v>22.1</v>
      </c>
      <c r="X4" s="28">
        <v>39577</v>
      </c>
      <c r="Y4" s="28">
        <v>-459</v>
      </c>
      <c r="Z4" s="28">
        <v>2402</v>
      </c>
      <c r="AA4" s="28">
        <v>-3.0000000000000001E-3</v>
      </c>
      <c r="AB4" s="28">
        <v>0.71</v>
      </c>
      <c r="AC4" s="28">
        <v>-1.51</v>
      </c>
      <c r="AD4" s="28">
        <v>0</v>
      </c>
      <c r="AE4" s="28">
        <v>-0.01</v>
      </c>
    </row>
    <row r="5" spans="1:31" x14ac:dyDescent="0.25">
      <c r="A5" s="28">
        <v>0.99</v>
      </c>
      <c r="B5" s="28">
        <v>0</v>
      </c>
      <c r="C5" s="28">
        <v>-1.53</v>
      </c>
      <c r="D5" s="28">
        <v>0.74</v>
      </c>
      <c r="E5" s="28">
        <v>0.314</v>
      </c>
      <c r="F5" s="28">
        <v>1117</v>
      </c>
      <c r="G5" s="28">
        <v>-42</v>
      </c>
      <c r="H5" s="28">
        <v>124</v>
      </c>
      <c r="I5" s="28">
        <v>21.51</v>
      </c>
      <c r="J5" s="28">
        <v>1470.5</v>
      </c>
      <c r="K5" s="28">
        <v>6.14</v>
      </c>
      <c r="L5" s="28" t="s">
        <v>22</v>
      </c>
      <c r="M5" s="28">
        <v>1467.1</v>
      </c>
      <c r="N5" s="28">
        <v>1470</v>
      </c>
      <c r="O5" s="28" t="s">
        <v>22</v>
      </c>
      <c r="P5" s="29">
        <v>24000</v>
      </c>
      <c r="Q5" s="28" t="s">
        <v>22</v>
      </c>
      <c r="R5" s="28">
        <v>2</v>
      </c>
      <c r="S5" s="28">
        <v>2.0499999999999998</v>
      </c>
      <c r="T5" s="28" t="s">
        <v>22</v>
      </c>
      <c r="U5" s="28">
        <v>-39.39</v>
      </c>
      <c r="V5" s="28">
        <v>2</v>
      </c>
      <c r="W5" s="28">
        <v>21.51</v>
      </c>
      <c r="X5" s="28">
        <v>369441</v>
      </c>
      <c r="Y5" s="28">
        <v>4776</v>
      </c>
      <c r="Z5" s="28">
        <v>92619</v>
      </c>
      <c r="AA5" s="28">
        <v>-3.0000000000000001E-3</v>
      </c>
      <c r="AB5" s="28">
        <v>0.74</v>
      </c>
      <c r="AC5" s="28">
        <v>-1.53</v>
      </c>
      <c r="AD5" s="28">
        <v>0</v>
      </c>
      <c r="AE5" s="28">
        <v>-0.01</v>
      </c>
    </row>
    <row r="6" spans="1:31" x14ac:dyDescent="0.25">
      <c r="A6" s="28">
        <v>0.99</v>
      </c>
      <c r="B6" s="28">
        <v>0</v>
      </c>
      <c r="C6" s="28">
        <v>-1.57</v>
      </c>
      <c r="D6" s="28">
        <v>0.78</v>
      </c>
      <c r="E6" s="28">
        <v>0.32900000000000001</v>
      </c>
      <c r="F6" s="28">
        <v>11</v>
      </c>
      <c r="G6" s="28">
        <v>0</v>
      </c>
      <c r="H6" s="28">
        <v>2</v>
      </c>
      <c r="I6" s="28">
        <v>20.97</v>
      </c>
      <c r="J6" s="28">
        <v>1396.1</v>
      </c>
      <c r="K6" s="28">
        <v>6.21</v>
      </c>
      <c r="L6" s="28" t="s">
        <v>22</v>
      </c>
      <c r="M6" s="28">
        <v>1368.45</v>
      </c>
      <c r="N6" s="28">
        <v>1478</v>
      </c>
      <c r="O6" s="28" t="s">
        <v>22</v>
      </c>
      <c r="P6" s="29">
        <v>24050</v>
      </c>
      <c r="Q6" s="28" t="s">
        <v>22</v>
      </c>
      <c r="R6" s="28">
        <v>2</v>
      </c>
      <c r="S6" s="28">
        <v>2.1</v>
      </c>
      <c r="T6" s="28" t="s">
        <v>22</v>
      </c>
      <c r="U6" s="28">
        <v>-39.130000000000003</v>
      </c>
      <c r="V6" s="28">
        <v>2.1</v>
      </c>
      <c r="W6" s="28">
        <v>20.97</v>
      </c>
      <c r="X6" s="28">
        <v>55807</v>
      </c>
      <c r="Y6" s="28">
        <v>-315</v>
      </c>
      <c r="Z6" s="28">
        <v>3513</v>
      </c>
      <c r="AA6" s="28">
        <v>-3.0000000000000001E-3</v>
      </c>
      <c r="AB6" s="28">
        <v>0.78</v>
      </c>
      <c r="AC6" s="28">
        <v>-1.57</v>
      </c>
      <c r="AD6" s="28">
        <v>0</v>
      </c>
      <c r="AE6" s="28">
        <v>-0.01</v>
      </c>
    </row>
    <row r="7" spans="1:31" x14ac:dyDescent="0.25">
      <c r="A7" s="28">
        <v>0.99</v>
      </c>
      <c r="B7" s="28">
        <v>0</v>
      </c>
      <c r="C7" s="28">
        <v>-1.59</v>
      </c>
      <c r="D7" s="28">
        <v>0.82</v>
      </c>
      <c r="E7" s="28">
        <v>0.33</v>
      </c>
      <c r="F7" s="28">
        <v>80</v>
      </c>
      <c r="G7" s="28">
        <v>0</v>
      </c>
      <c r="H7" s="28">
        <v>1</v>
      </c>
      <c r="I7" s="28">
        <v>20.36</v>
      </c>
      <c r="J7" s="28">
        <v>1350.15</v>
      </c>
      <c r="K7" s="28">
        <v>5</v>
      </c>
      <c r="L7" s="28" t="s">
        <v>22</v>
      </c>
      <c r="M7" s="28">
        <v>1318.5</v>
      </c>
      <c r="N7" s="28">
        <v>1428.05</v>
      </c>
      <c r="O7" s="28" t="s">
        <v>22</v>
      </c>
      <c r="P7" s="29">
        <v>24100</v>
      </c>
      <c r="Q7" s="28" t="s">
        <v>22</v>
      </c>
      <c r="R7" s="28">
        <v>2.0499999999999998</v>
      </c>
      <c r="S7" s="28">
        <v>2.2000000000000002</v>
      </c>
      <c r="T7" s="28" t="s">
        <v>22</v>
      </c>
      <c r="U7" s="28">
        <v>-40.28</v>
      </c>
      <c r="V7" s="28">
        <v>2.15</v>
      </c>
      <c r="W7" s="28">
        <v>20.36</v>
      </c>
      <c r="X7" s="28">
        <v>164557</v>
      </c>
      <c r="Y7" s="28">
        <v>-3094</v>
      </c>
      <c r="Z7" s="28">
        <v>19122</v>
      </c>
      <c r="AA7" s="28">
        <v>-4.0000000000000001E-3</v>
      </c>
      <c r="AB7" s="28">
        <v>0.82</v>
      </c>
      <c r="AC7" s="28">
        <v>-1.59</v>
      </c>
      <c r="AD7" s="28">
        <v>0</v>
      </c>
      <c r="AE7" s="28">
        <v>-0.01</v>
      </c>
    </row>
    <row r="8" spans="1:31" x14ac:dyDescent="0.25">
      <c r="A8" s="28">
        <v>0.99</v>
      </c>
      <c r="B8" s="28">
        <v>0</v>
      </c>
      <c r="C8" s="28">
        <v>-1.61</v>
      </c>
      <c r="D8" s="28">
        <v>0.85</v>
      </c>
      <c r="E8" s="28">
        <v>0.33</v>
      </c>
      <c r="F8" s="28">
        <v>19</v>
      </c>
      <c r="G8" s="28">
        <v>-1</v>
      </c>
      <c r="H8" s="28">
        <v>3</v>
      </c>
      <c r="I8" s="28">
        <v>19.739999999999998</v>
      </c>
      <c r="J8" s="28">
        <v>1295.0999999999999</v>
      </c>
      <c r="K8" s="28">
        <v>4.9000000000000004</v>
      </c>
      <c r="L8" s="28" t="s">
        <v>22</v>
      </c>
      <c r="M8" s="28">
        <v>1269</v>
      </c>
      <c r="N8" s="28">
        <v>1377.95</v>
      </c>
      <c r="O8" s="28" t="s">
        <v>22</v>
      </c>
      <c r="P8" s="29">
        <v>24150</v>
      </c>
      <c r="Q8" s="28" t="s">
        <v>22</v>
      </c>
      <c r="R8" s="28">
        <v>2.15</v>
      </c>
      <c r="S8" s="28">
        <v>2.2000000000000002</v>
      </c>
      <c r="T8" s="28" t="s">
        <v>22</v>
      </c>
      <c r="U8" s="28">
        <v>-42.11</v>
      </c>
      <c r="V8" s="28">
        <v>2.2000000000000002</v>
      </c>
      <c r="W8" s="28">
        <v>19.739999999999998</v>
      </c>
      <c r="X8" s="28">
        <v>52234</v>
      </c>
      <c r="Y8" s="28">
        <v>1488</v>
      </c>
      <c r="Z8" s="28">
        <v>5436</v>
      </c>
      <c r="AA8" s="28">
        <v>-4.0000000000000001E-3</v>
      </c>
      <c r="AB8" s="28">
        <v>0.85</v>
      </c>
      <c r="AC8" s="28">
        <v>-1.61</v>
      </c>
      <c r="AD8" s="28">
        <v>0</v>
      </c>
      <c r="AE8" s="28">
        <v>-0.01</v>
      </c>
    </row>
    <row r="9" spans="1:31" x14ac:dyDescent="0.25">
      <c r="A9" s="28">
        <v>0.99</v>
      </c>
      <c r="B9" s="28">
        <v>1E-4</v>
      </c>
      <c r="C9" s="28">
        <v>-1.65</v>
      </c>
      <c r="D9" s="28">
        <v>0.9</v>
      </c>
      <c r="E9" s="28">
        <v>0.312</v>
      </c>
      <c r="F9" s="28">
        <v>317</v>
      </c>
      <c r="G9" s="28">
        <v>-5</v>
      </c>
      <c r="H9" s="28">
        <v>10</v>
      </c>
      <c r="I9" s="28">
        <v>19.18</v>
      </c>
      <c r="J9" s="28">
        <v>1276.05</v>
      </c>
      <c r="K9" s="28">
        <v>7.59</v>
      </c>
      <c r="L9" s="28" t="s">
        <v>22</v>
      </c>
      <c r="M9" s="28">
        <v>1219.3</v>
      </c>
      <c r="N9" s="28">
        <v>1328.05</v>
      </c>
      <c r="O9" s="28" t="s">
        <v>22</v>
      </c>
      <c r="P9" s="29">
        <v>24200</v>
      </c>
      <c r="Q9" s="28" t="s">
        <v>22</v>
      </c>
      <c r="R9" s="28">
        <v>2.15</v>
      </c>
      <c r="S9" s="28">
        <v>2.2999999999999998</v>
      </c>
      <c r="T9" s="28" t="s">
        <v>22</v>
      </c>
      <c r="U9" s="28">
        <v>-42.5</v>
      </c>
      <c r="V9" s="28">
        <v>2.2999999999999998</v>
      </c>
      <c r="W9" s="28">
        <v>19.18</v>
      </c>
      <c r="X9" s="28">
        <v>300769</v>
      </c>
      <c r="Y9" s="28">
        <v>-10728</v>
      </c>
      <c r="Z9" s="28">
        <v>46786</v>
      </c>
      <c r="AA9" s="28">
        <v>-4.0000000000000001E-3</v>
      </c>
      <c r="AB9" s="28">
        <v>0.9</v>
      </c>
      <c r="AC9" s="28">
        <v>-1.65</v>
      </c>
      <c r="AD9" s="28">
        <v>1E-4</v>
      </c>
      <c r="AE9" s="28">
        <v>-0.01</v>
      </c>
    </row>
    <row r="10" spans="1:31" x14ac:dyDescent="0.25">
      <c r="A10" s="28">
        <v>0.99</v>
      </c>
      <c r="B10" s="28">
        <v>1E-4</v>
      </c>
      <c r="C10" s="28">
        <v>-1.64</v>
      </c>
      <c r="D10" s="28">
        <v>0.93</v>
      </c>
      <c r="E10" s="28">
        <v>0.318</v>
      </c>
      <c r="F10" s="28">
        <v>45</v>
      </c>
      <c r="G10" s="28">
        <v>2</v>
      </c>
      <c r="H10" s="28">
        <v>6</v>
      </c>
      <c r="I10" s="28">
        <v>18.5</v>
      </c>
      <c r="J10" s="28">
        <v>1218.5</v>
      </c>
      <c r="K10" s="28">
        <v>7.16</v>
      </c>
      <c r="L10" s="28" t="s">
        <v>22</v>
      </c>
      <c r="M10" s="28">
        <v>1167.0999999999999</v>
      </c>
      <c r="N10" s="28">
        <v>1278</v>
      </c>
      <c r="O10" s="28" t="s">
        <v>22</v>
      </c>
      <c r="P10" s="29">
        <v>24250</v>
      </c>
      <c r="Q10" s="28" t="s">
        <v>22</v>
      </c>
      <c r="R10" s="28">
        <v>2.25</v>
      </c>
      <c r="S10" s="28">
        <v>2.4</v>
      </c>
      <c r="T10" s="28" t="s">
        <v>22</v>
      </c>
      <c r="U10" s="28">
        <v>-43.9</v>
      </c>
      <c r="V10" s="28">
        <v>2.2999999999999998</v>
      </c>
      <c r="W10" s="28">
        <v>18.5</v>
      </c>
      <c r="X10" s="28">
        <v>58171</v>
      </c>
      <c r="Y10" s="28">
        <v>-1828</v>
      </c>
      <c r="Z10" s="28">
        <v>6593</v>
      </c>
      <c r="AA10" s="28">
        <v>-4.0000000000000001E-3</v>
      </c>
      <c r="AB10" s="28">
        <v>0.93</v>
      </c>
      <c r="AC10" s="28">
        <v>-1.64</v>
      </c>
      <c r="AD10" s="28">
        <v>1E-4</v>
      </c>
      <c r="AE10" s="28">
        <v>-0.01</v>
      </c>
    </row>
    <row r="11" spans="1:31" x14ac:dyDescent="0.25">
      <c r="A11" s="28">
        <v>0.99</v>
      </c>
      <c r="B11" s="28">
        <v>1E-4</v>
      </c>
      <c r="C11" s="28">
        <v>-1.65</v>
      </c>
      <c r="D11" s="28">
        <v>0.97</v>
      </c>
      <c r="E11" s="28">
        <v>0.308</v>
      </c>
      <c r="F11" s="28">
        <v>177</v>
      </c>
      <c r="G11" s="28">
        <v>-18</v>
      </c>
      <c r="H11" s="28">
        <v>57</v>
      </c>
      <c r="I11" s="28">
        <v>17.87</v>
      </c>
      <c r="J11" s="28">
        <v>1181.8</v>
      </c>
      <c r="K11" s="28">
        <v>8.77</v>
      </c>
      <c r="L11" s="28" t="s">
        <v>22</v>
      </c>
      <c r="M11" s="28">
        <v>1119.8499999999999</v>
      </c>
      <c r="N11" s="28">
        <v>1228.0999999999999</v>
      </c>
      <c r="O11" s="28" t="s">
        <v>22</v>
      </c>
      <c r="P11" s="29">
        <v>24300</v>
      </c>
      <c r="Q11" s="28" t="s">
        <v>22</v>
      </c>
      <c r="R11" s="28">
        <v>2.2999999999999998</v>
      </c>
      <c r="S11" s="28">
        <v>2.4500000000000002</v>
      </c>
      <c r="T11" s="28" t="s">
        <v>22</v>
      </c>
      <c r="U11" s="28">
        <v>-45.35</v>
      </c>
      <c r="V11" s="28">
        <v>2.35</v>
      </c>
      <c r="W11" s="28">
        <v>17.87</v>
      </c>
      <c r="X11" s="28">
        <v>368323</v>
      </c>
      <c r="Y11" s="28">
        <v>11885</v>
      </c>
      <c r="Z11" s="28">
        <v>52789</v>
      </c>
      <c r="AA11" s="28">
        <v>-4.0000000000000001E-3</v>
      </c>
      <c r="AB11" s="28">
        <v>0.97</v>
      </c>
      <c r="AC11" s="28">
        <v>-1.65</v>
      </c>
      <c r="AD11" s="28">
        <v>1E-4</v>
      </c>
      <c r="AE11" s="28">
        <v>-0.01</v>
      </c>
    </row>
    <row r="12" spans="1:31" x14ac:dyDescent="0.25">
      <c r="A12" s="28">
        <v>0.99</v>
      </c>
      <c r="B12" s="28">
        <v>1E-4</v>
      </c>
      <c r="C12" s="28">
        <v>-1.74</v>
      </c>
      <c r="D12" s="28">
        <v>1.06</v>
      </c>
      <c r="E12" s="28">
        <v>0.316</v>
      </c>
      <c r="F12" s="28">
        <v>20</v>
      </c>
      <c r="G12" s="28">
        <v>2</v>
      </c>
      <c r="H12" s="28">
        <v>16</v>
      </c>
      <c r="I12" s="28">
        <v>17.38</v>
      </c>
      <c r="J12" s="28">
        <v>1120.4000000000001</v>
      </c>
      <c r="K12" s="28">
        <v>18.399999999999999</v>
      </c>
      <c r="L12" s="28" t="s">
        <v>22</v>
      </c>
      <c r="M12" s="28">
        <v>1070.4000000000001</v>
      </c>
      <c r="N12" s="28">
        <v>1178.7</v>
      </c>
      <c r="O12" s="28" t="s">
        <v>22</v>
      </c>
      <c r="P12" s="29">
        <v>24350</v>
      </c>
      <c r="Q12" s="28" t="s">
        <v>22</v>
      </c>
      <c r="R12" s="28">
        <v>2.5</v>
      </c>
      <c r="S12" s="28">
        <v>2.7</v>
      </c>
      <c r="T12" s="28" t="s">
        <v>22</v>
      </c>
      <c r="U12" s="28">
        <v>-44.57</v>
      </c>
      <c r="V12" s="28">
        <v>2.5499999999999998</v>
      </c>
      <c r="W12" s="28">
        <v>17.38</v>
      </c>
      <c r="X12" s="28">
        <v>100166</v>
      </c>
      <c r="Y12" s="28">
        <v>195</v>
      </c>
      <c r="Z12" s="28">
        <v>8032</v>
      </c>
      <c r="AA12" s="28">
        <v>-5.0000000000000001E-3</v>
      </c>
      <c r="AB12" s="28">
        <v>1.06</v>
      </c>
      <c r="AC12" s="28">
        <v>-1.74</v>
      </c>
      <c r="AD12" s="28">
        <v>1E-4</v>
      </c>
      <c r="AE12" s="28">
        <v>-0.01</v>
      </c>
    </row>
    <row r="13" spans="1:31" x14ac:dyDescent="0.25">
      <c r="A13" s="28">
        <v>0.98</v>
      </c>
      <c r="B13" s="28">
        <v>1E-4</v>
      </c>
      <c r="C13" s="28">
        <v>-1.8</v>
      </c>
      <c r="D13" s="28">
        <v>1.1299999999999999</v>
      </c>
      <c r="E13" s="28">
        <v>0.316</v>
      </c>
      <c r="F13" s="28">
        <v>478</v>
      </c>
      <c r="G13" s="28">
        <v>-62</v>
      </c>
      <c r="H13" s="28">
        <v>160</v>
      </c>
      <c r="I13" s="28">
        <v>16.82</v>
      </c>
      <c r="J13" s="28">
        <v>1070.9000000000001</v>
      </c>
      <c r="K13" s="28">
        <v>8.41</v>
      </c>
      <c r="L13" s="28" t="s">
        <v>22</v>
      </c>
      <c r="M13" s="28">
        <v>1065.2</v>
      </c>
      <c r="N13" s="28">
        <v>1076.7</v>
      </c>
      <c r="O13" s="28" t="s">
        <v>22</v>
      </c>
      <c r="P13" s="29">
        <v>24400</v>
      </c>
      <c r="Q13" s="28" t="s">
        <v>22</v>
      </c>
      <c r="R13" s="28">
        <v>2.7</v>
      </c>
      <c r="S13" s="28">
        <v>2.8</v>
      </c>
      <c r="T13" s="28" t="s">
        <v>22</v>
      </c>
      <c r="U13" s="28">
        <v>-43.75</v>
      </c>
      <c r="V13" s="28">
        <v>2.7</v>
      </c>
      <c r="W13" s="28">
        <v>16.82</v>
      </c>
      <c r="X13" s="28">
        <v>365539</v>
      </c>
      <c r="Y13" s="28">
        <v>32843</v>
      </c>
      <c r="Z13" s="28">
        <v>64311</v>
      </c>
      <c r="AA13" s="28">
        <v>-5.0000000000000001E-3</v>
      </c>
      <c r="AB13" s="28">
        <v>1.1299999999999999</v>
      </c>
      <c r="AC13" s="28">
        <v>-1.8</v>
      </c>
      <c r="AD13" s="28">
        <v>1E-4</v>
      </c>
      <c r="AE13" s="28">
        <v>-0.02</v>
      </c>
    </row>
    <row r="14" spans="1:31" x14ac:dyDescent="0.25">
      <c r="A14" s="28">
        <v>0.99</v>
      </c>
      <c r="B14" s="28">
        <v>1E-4</v>
      </c>
      <c r="C14" s="28">
        <v>-1.67</v>
      </c>
      <c r="D14" s="28">
        <v>1.1100000000000001</v>
      </c>
      <c r="E14" s="28">
        <v>0.33400000000000002</v>
      </c>
      <c r="F14" s="28">
        <v>51</v>
      </c>
      <c r="G14" s="28">
        <v>13</v>
      </c>
      <c r="H14" s="28">
        <v>68</v>
      </c>
      <c r="I14" s="28">
        <v>15.94</v>
      </c>
      <c r="J14" s="28">
        <v>996.25</v>
      </c>
      <c r="K14" s="28">
        <v>6</v>
      </c>
      <c r="L14" s="28" t="s">
        <v>22</v>
      </c>
      <c r="M14" s="28">
        <v>970.75</v>
      </c>
      <c r="N14" s="28">
        <v>1078.5999999999999</v>
      </c>
      <c r="O14" s="28" t="s">
        <v>22</v>
      </c>
      <c r="P14" s="29">
        <v>24450</v>
      </c>
      <c r="Q14" s="28" t="s">
        <v>22</v>
      </c>
      <c r="R14" s="28">
        <v>2.65</v>
      </c>
      <c r="S14" s="28">
        <v>2.85</v>
      </c>
      <c r="T14" s="28" t="s">
        <v>22</v>
      </c>
      <c r="U14" s="28">
        <v>-51.46</v>
      </c>
      <c r="V14" s="28">
        <v>2.5</v>
      </c>
      <c r="W14" s="28">
        <v>15.94</v>
      </c>
      <c r="X14" s="28">
        <v>130303</v>
      </c>
      <c r="Y14" s="28">
        <v>571</v>
      </c>
      <c r="Z14" s="28">
        <v>12710</v>
      </c>
      <c r="AA14" s="28">
        <v>-5.0000000000000001E-3</v>
      </c>
      <c r="AB14" s="28">
        <v>1.1100000000000001</v>
      </c>
      <c r="AC14" s="28">
        <v>-1.67</v>
      </c>
      <c r="AD14" s="28">
        <v>1E-4</v>
      </c>
      <c r="AE14" s="28">
        <v>-0.01</v>
      </c>
    </row>
    <row r="15" spans="1:31" x14ac:dyDescent="0.25">
      <c r="A15" s="28">
        <v>0.98</v>
      </c>
      <c r="B15" s="28">
        <v>1E-4</v>
      </c>
      <c r="C15" s="28">
        <v>-1.93</v>
      </c>
      <c r="D15" s="28">
        <v>1.31</v>
      </c>
      <c r="E15" s="28">
        <v>0.317</v>
      </c>
      <c r="F15" s="28">
        <v>1996</v>
      </c>
      <c r="G15" s="28">
        <v>-473</v>
      </c>
      <c r="H15" s="28">
        <v>3142</v>
      </c>
      <c r="I15" s="28">
        <v>15.69</v>
      </c>
      <c r="J15" s="28">
        <v>970</v>
      </c>
      <c r="K15" s="28">
        <v>9.2200000000000006</v>
      </c>
      <c r="L15" s="28" t="s">
        <v>22</v>
      </c>
      <c r="M15" s="28">
        <v>967.15</v>
      </c>
      <c r="N15" s="28">
        <v>974.7</v>
      </c>
      <c r="O15" s="28" t="s">
        <v>22</v>
      </c>
      <c r="P15" s="29">
        <v>24500</v>
      </c>
      <c r="Q15" s="28" t="s">
        <v>22</v>
      </c>
      <c r="R15" s="28">
        <v>3</v>
      </c>
      <c r="S15" s="28">
        <v>3.05</v>
      </c>
      <c r="T15" s="28" t="s">
        <v>22</v>
      </c>
      <c r="U15" s="28">
        <v>-45.05</v>
      </c>
      <c r="V15" s="28">
        <v>3.05</v>
      </c>
      <c r="W15" s="28">
        <v>15.69</v>
      </c>
      <c r="X15" s="28">
        <v>679477</v>
      </c>
      <c r="Y15" s="28">
        <v>14295</v>
      </c>
      <c r="Z15" s="28">
        <v>98170</v>
      </c>
      <c r="AA15" s="28">
        <v>-6.0000000000000001E-3</v>
      </c>
      <c r="AB15" s="28">
        <v>1.31</v>
      </c>
      <c r="AC15" s="28">
        <v>-1.93</v>
      </c>
      <c r="AD15" s="28">
        <v>1E-4</v>
      </c>
      <c r="AE15" s="28">
        <v>-0.02</v>
      </c>
    </row>
    <row r="16" spans="1:31" x14ac:dyDescent="0.25">
      <c r="A16" s="28">
        <v>0.98</v>
      </c>
      <c r="B16" s="28">
        <v>1E-4</v>
      </c>
      <c r="C16" s="28">
        <v>-1.96</v>
      </c>
      <c r="D16" s="28">
        <v>1.39</v>
      </c>
      <c r="E16" s="28">
        <v>0.317</v>
      </c>
      <c r="F16" s="28">
        <v>151</v>
      </c>
      <c r="G16" s="28">
        <v>-4</v>
      </c>
      <c r="H16" s="28">
        <v>65</v>
      </c>
      <c r="I16" s="28">
        <v>15.05</v>
      </c>
      <c r="J16" s="28">
        <v>920</v>
      </c>
      <c r="K16" s="28">
        <v>9.42</v>
      </c>
      <c r="L16" s="28" t="s">
        <v>22</v>
      </c>
      <c r="M16" s="28">
        <v>871.45</v>
      </c>
      <c r="N16" s="28">
        <v>978.6</v>
      </c>
      <c r="O16" s="28" t="s">
        <v>22</v>
      </c>
      <c r="P16" s="29">
        <v>24550</v>
      </c>
      <c r="Q16" s="28" t="s">
        <v>22</v>
      </c>
      <c r="R16" s="28">
        <v>3.05</v>
      </c>
      <c r="S16" s="28">
        <v>3.15</v>
      </c>
      <c r="T16" s="28" t="s">
        <v>22</v>
      </c>
      <c r="U16" s="28">
        <v>-46.15</v>
      </c>
      <c r="V16" s="28">
        <v>3.15</v>
      </c>
      <c r="W16" s="28">
        <v>15.05</v>
      </c>
      <c r="X16" s="28">
        <v>190046</v>
      </c>
      <c r="Y16" s="28">
        <v>893</v>
      </c>
      <c r="Z16" s="28">
        <v>12641</v>
      </c>
      <c r="AA16" s="28">
        <v>-7.0000000000000001E-3</v>
      </c>
      <c r="AB16" s="28">
        <v>1.39</v>
      </c>
      <c r="AC16" s="28">
        <v>-1.96</v>
      </c>
      <c r="AD16" s="28">
        <v>1E-4</v>
      </c>
      <c r="AE16" s="28">
        <v>-0.02</v>
      </c>
    </row>
    <row r="17" spans="1:31" x14ac:dyDescent="0.25">
      <c r="A17" s="28">
        <v>0.98</v>
      </c>
      <c r="B17" s="28">
        <v>1E-4</v>
      </c>
      <c r="C17" s="28">
        <v>-2</v>
      </c>
      <c r="D17" s="28">
        <v>1.48</v>
      </c>
      <c r="E17" s="28">
        <v>0.312</v>
      </c>
      <c r="F17" s="28">
        <v>1140</v>
      </c>
      <c r="G17" s="28">
        <v>-221</v>
      </c>
      <c r="H17" s="28">
        <v>701</v>
      </c>
      <c r="I17" s="28">
        <v>14.43</v>
      </c>
      <c r="J17" s="28">
        <v>875.5</v>
      </c>
      <c r="K17" s="28">
        <v>10.86</v>
      </c>
      <c r="L17" s="28" t="s">
        <v>22</v>
      </c>
      <c r="M17" s="28">
        <v>866.95</v>
      </c>
      <c r="N17" s="28">
        <v>873.25</v>
      </c>
      <c r="O17" s="28" t="s">
        <v>22</v>
      </c>
      <c r="P17" s="29">
        <v>24600</v>
      </c>
      <c r="Q17" s="28" t="s">
        <v>22</v>
      </c>
      <c r="R17" s="28">
        <v>3.15</v>
      </c>
      <c r="S17" s="28">
        <v>3.3</v>
      </c>
      <c r="T17" s="28" t="s">
        <v>22</v>
      </c>
      <c r="U17" s="28">
        <v>-47.2</v>
      </c>
      <c r="V17" s="28">
        <v>3.3</v>
      </c>
      <c r="W17" s="28">
        <v>14.43</v>
      </c>
      <c r="X17" s="28">
        <v>491211</v>
      </c>
      <c r="Y17" s="28">
        <v>13247</v>
      </c>
      <c r="Z17" s="28">
        <v>53196</v>
      </c>
      <c r="AA17" s="28">
        <v>-7.0000000000000001E-3</v>
      </c>
      <c r="AB17" s="28">
        <v>1.48</v>
      </c>
      <c r="AC17" s="28">
        <v>-2</v>
      </c>
      <c r="AD17" s="28">
        <v>1E-4</v>
      </c>
      <c r="AE17" s="28">
        <v>-0.02</v>
      </c>
    </row>
    <row r="18" spans="1:31" x14ac:dyDescent="0.25">
      <c r="A18" s="28">
        <v>0.98</v>
      </c>
      <c r="B18" s="28">
        <v>1E-4</v>
      </c>
      <c r="C18" s="28">
        <v>-2.0099999999999998</v>
      </c>
      <c r="D18" s="28">
        <v>1.57</v>
      </c>
      <c r="E18" s="28">
        <v>0.317</v>
      </c>
      <c r="F18" s="28">
        <v>181</v>
      </c>
      <c r="G18" s="28">
        <v>2</v>
      </c>
      <c r="H18" s="28">
        <v>96</v>
      </c>
      <c r="I18" s="28">
        <v>13.77</v>
      </c>
      <c r="J18" s="28">
        <v>820.2</v>
      </c>
      <c r="K18" s="28">
        <v>10.7</v>
      </c>
      <c r="L18" s="28" t="s">
        <v>22</v>
      </c>
      <c r="M18" s="28">
        <v>817.6</v>
      </c>
      <c r="N18" s="28">
        <v>823.55</v>
      </c>
      <c r="O18" s="28" t="s">
        <v>22</v>
      </c>
      <c r="P18" s="29">
        <v>24650</v>
      </c>
      <c r="Q18" s="28" t="s">
        <v>22</v>
      </c>
      <c r="R18" s="28">
        <v>3.25</v>
      </c>
      <c r="S18" s="28">
        <v>3.4</v>
      </c>
      <c r="T18" s="28" t="s">
        <v>22</v>
      </c>
      <c r="U18" s="28">
        <v>-50</v>
      </c>
      <c r="V18" s="28">
        <v>3.4</v>
      </c>
      <c r="W18" s="28">
        <v>13.77</v>
      </c>
      <c r="X18" s="28">
        <v>198522</v>
      </c>
      <c r="Y18" s="28">
        <v>4467</v>
      </c>
      <c r="Z18" s="28">
        <v>14353</v>
      </c>
      <c r="AA18" s="28">
        <v>-8.0000000000000002E-3</v>
      </c>
      <c r="AB18" s="28">
        <v>1.57</v>
      </c>
      <c r="AC18" s="28">
        <v>-2.0099999999999998</v>
      </c>
      <c r="AD18" s="28">
        <v>1E-4</v>
      </c>
      <c r="AE18" s="28">
        <v>-0.02</v>
      </c>
    </row>
    <row r="19" spans="1:31" x14ac:dyDescent="0.25">
      <c r="A19" s="28">
        <v>0.98</v>
      </c>
      <c r="B19" s="28">
        <v>1E-4</v>
      </c>
      <c r="C19" s="28">
        <v>-2.06</v>
      </c>
      <c r="D19" s="28">
        <v>1.7</v>
      </c>
      <c r="E19" s="28">
        <v>0.317</v>
      </c>
      <c r="F19" s="28">
        <v>1843</v>
      </c>
      <c r="G19" s="28">
        <v>-368</v>
      </c>
      <c r="H19" s="28">
        <v>1135</v>
      </c>
      <c r="I19" s="28">
        <v>13.15</v>
      </c>
      <c r="J19" s="28">
        <v>770.65</v>
      </c>
      <c r="K19" s="28">
        <v>11.49</v>
      </c>
      <c r="L19" s="28" t="s">
        <v>22</v>
      </c>
      <c r="M19" s="28">
        <v>770</v>
      </c>
      <c r="N19" s="28">
        <v>772.75</v>
      </c>
      <c r="O19" s="28" t="s">
        <v>22</v>
      </c>
      <c r="P19" s="29">
        <v>24700</v>
      </c>
      <c r="Q19" s="28" t="s">
        <v>22</v>
      </c>
      <c r="R19" s="28">
        <v>3.5</v>
      </c>
      <c r="S19" s="28">
        <v>3.55</v>
      </c>
      <c r="T19" s="28" t="s">
        <v>22</v>
      </c>
      <c r="U19" s="28">
        <v>-51.35</v>
      </c>
      <c r="V19" s="28">
        <v>3.6</v>
      </c>
      <c r="W19" s="28">
        <v>13.15</v>
      </c>
      <c r="X19" s="28">
        <v>585074</v>
      </c>
      <c r="Y19" s="28">
        <v>35159</v>
      </c>
      <c r="Z19" s="28">
        <v>76398</v>
      </c>
      <c r="AA19" s="28">
        <v>-8.9999999999999993E-3</v>
      </c>
      <c r="AB19" s="28">
        <v>1.7</v>
      </c>
      <c r="AC19" s="28">
        <v>-2.06</v>
      </c>
      <c r="AD19" s="28">
        <v>1E-4</v>
      </c>
      <c r="AE19" s="28">
        <v>-0.02</v>
      </c>
    </row>
    <row r="20" spans="1:31" x14ac:dyDescent="0.25">
      <c r="A20" s="28">
        <v>0.97</v>
      </c>
      <c r="B20" s="28">
        <v>2.0000000000000001E-4</v>
      </c>
      <c r="C20" s="28">
        <v>-2.11</v>
      </c>
      <c r="D20" s="28">
        <v>1.83</v>
      </c>
      <c r="E20" s="28">
        <v>0.312</v>
      </c>
      <c r="F20" s="28">
        <v>411</v>
      </c>
      <c r="G20" s="28">
        <v>-24</v>
      </c>
      <c r="H20" s="28">
        <v>194</v>
      </c>
      <c r="I20" s="28">
        <v>12.52</v>
      </c>
      <c r="J20" s="28">
        <v>725.05</v>
      </c>
      <c r="K20" s="28">
        <v>12.86</v>
      </c>
      <c r="L20" s="28" t="s">
        <v>22</v>
      </c>
      <c r="M20" s="28">
        <v>718.05</v>
      </c>
      <c r="N20" s="28">
        <v>722.8</v>
      </c>
      <c r="O20" s="28" t="s">
        <v>22</v>
      </c>
      <c r="P20" s="29">
        <v>24750</v>
      </c>
      <c r="Q20" s="28" t="s">
        <v>22</v>
      </c>
      <c r="R20" s="28">
        <v>3.7</v>
      </c>
      <c r="S20" s="28">
        <v>3.8</v>
      </c>
      <c r="T20" s="28" t="s">
        <v>22</v>
      </c>
      <c r="U20" s="28">
        <v>-54.49</v>
      </c>
      <c r="V20" s="28">
        <v>3.8</v>
      </c>
      <c r="W20" s="28">
        <v>12.52</v>
      </c>
      <c r="X20" s="28">
        <v>185699</v>
      </c>
      <c r="Y20" s="28">
        <v>9591</v>
      </c>
      <c r="Z20" s="28">
        <v>21343</v>
      </c>
      <c r="AA20" s="28">
        <v>-8.9999999999999993E-3</v>
      </c>
      <c r="AB20" s="28">
        <v>1.83</v>
      </c>
      <c r="AC20" s="28">
        <v>-2.11</v>
      </c>
      <c r="AD20" s="28">
        <v>2.0000000000000001E-4</v>
      </c>
      <c r="AE20" s="28">
        <v>-0.03</v>
      </c>
    </row>
    <row r="21" spans="1:31" x14ac:dyDescent="0.25">
      <c r="A21" s="28">
        <v>0.97</v>
      </c>
      <c r="B21" s="28">
        <v>2.0000000000000001E-4</v>
      </c>
      <c r="C21" s="28">
        <v>-2.1</v>
      </c>
      <c r="D21" s="28">
        <v>1.95</v>
      </c>
      <c r="E21" s="28">
        <v>0.316</v>
      </c>
      <c r="F21" s="28">
        <v>2528</v>
      </c>
      <c r="G21" s="28">
        <v>-660</v>
      </c>
      <c r="H21" s="28">
        <v>2813</v>
      </c>
      <c r="I21" s="28">
        <v>11.82</v>
      </c>
      <c r="J21" s="28">
        <v>671</v>
      </c>
      <c r="K21" s="28">
        <v>13.08</v>
      </c>
      <c r="L21" s="28" t="s">
        <v>22</v>
      </c>
      <c r="M21" s="28">
        <v>668.55</v>
      </c>
      <c r="N21" s="28">
        <v>673</v>
      </c>
      <c r="O21" s="28" t="s">
        <v>22</v>
      </c>
      <c r="P21" s="29">
        <v>24800</v>
      </c>
      <c r="Q21" s="28" t="s">
        <v>22</v>
      </c>
      <c r="R21" s="28">
        <v>3.85</v>
      </c>
      <c r="S21" s="28">
        <v>4</v>
      </c>
      <c r="T21" s="28" t="s">
        <v>22</v>
      </c>
      <c r="U21" s="28">
        <v>-58.29</v>
      </c>
      <c r="V21" s="28">
        <v>3.9</v>
      </c>
      <c r="W21" s="28">
        <v>11.82</v>
      </c>
      <c r="X21" s="28">
        <v>474349</v>
      </c>
      <c r="Y21" s="28">
        <v>14356</v>
      </c>
      <c r="Z21" s="28">
        <v>65239</v>
      </c>
      <c r="AA21" s="28">
        <v>-0.01</v>
      </c>
      <c r="AB21" s="28">
        <v>1.95</v>
      </c>
      <c r="AC21" s="28">
        <v>-2.1</v>
      </c>
      <c r="AD21" s="28">
        <v>2.0000000000000001E-4</v>
      </c>
      <c r="AE21" s="28">
        <v>-0.03</v>
      </c>
    </row>
    <row r="22" spans="1:31" x14ac:dyDescent="0.25">
      <c r="A22" s="28">
        <v>0.97</v>
      </c>
      <c r="B22" s="28">
        <v>2.0000000000000001E-4</v>
      </c>
      <c r="C22" s="28">
        <v>-2.25</v>
      </c>
      <c r="D22" s="28">
        <v>2.2000000000000002</v>
      </c>
      <c r="E22" s="28">
        <v>0.311</v>
      </c>
      <c r="F22" s="28">
        <v>614</v>
      </c>
      <c r="G22" s="28">
        <v>-150</v>
      </c>
      <c r="H22" s="28">
        <v>691</v>
      </c>
      <c r="I22" s="28">
        <v>11.3</v>
      </c>
      <c r="J22" s="28">
        <v>624.65</v>
      </c>
      <c r="K22" s="28">
        <v>14.56</v>
      </c>
      <c r="L22" s="28" t="s">
        <v>22</v>
      </c>
      <c r="M22" s="28">
        <v>617.70000000000005</v>
      </c>
      <c r="N22" s="28">
        <v>625.1</v>
      </c>
      <c r="O22" s="28" t="s">
        <v>22</v>
      </c>
      <c r="P22" s="29">
        <v>24850</v>
      </c>
      <c r="Q22" s="28" t="s">
        <v>22</v>
      </c>
      <c r="R22" s="28">
        <v>4.25</v>
      </c>
      <c r="S22" s="28">
        <v>4.4000000000000004</v>
      </c>
      <c r="T22" s="28" t="s">
        <v>22</v>
      </c>
      <c r="U22" s="28">
        <v>-59.26</v>
      </c>
      <c r="V22" s="28">
        <v>4.4000000000000004</v>
      </c>
      <c r="W22" s="28">
        <v>11.3</v>
      </c>
      <c r="X22" s="28">
        <v>201489</v>
      </c>
      <c r="Y22" s="28">
        <v>3276</v>
      </c>
      <c r="Z22" s="28">
        <v>20230</v>
      </c>
      <c r="AA22" s="28">
        <v>-1.2E-2</v>
      </c>
      <c r="AB22" s="28">
        <v>2.2000000000000002</v>
      </c>
      <c r="AC22" s="28">
        <v>-2.25</v>
      </c>
      <c r="AD22" s="28">
        <v>2.0000000000000001E-4</v>
      </c>
      <c r="AE22" s="28">
        <v>-0.03</v>
      </c>
    </row>
    <row r="23" spans="1:31" x14ac:dyDescent="0.25">
      <c r="A23" s="28">
        <v>0.96</v>
      </c>
      <c r="B23" s="28">
        <v>2.9999999999999997E-4</v>
      </c>
      <c r="C23" s="28">
        <v>-2.36</v>
      </c>
      <c r="D23" s="28">
        <v>2.4500000000000002</v>
      </c>
      <c r="E23" s="28">
        <v>0.31</v>
      </c>
      <c r="F23" s="28">
        <v>3488</v>
      </c>
      <c r="G23" s="28">
        <v>-597</v>
      </c>
      <c r="H23" s="28">
        <v>3054</v>
      </c>
      <c r="I23" s="28">
        <v>10.71</v>
      </c>
      <c r="J23" s="28">
        <v>575</v>
      </c>
      <c r="K23" s="28">
        <v>15.43</v>
      </c>
      <c r="L23" s="28" t="s">
        <v>22</v>
      </c>
      <c r="M23" s="28">
        <v>570</v>
      </c>
      <c r="N23" s="28">
        <v>574.95000000000005</v>
      </c>
      <c r="O23" s="28" t="s">
        <v>22</v>
      </c>
      <c r="P23" s="29">
        <v>24900</v>
      </c>
      <c r="Q23" s="28" t="s">
        <v>22</v>
      </c>
      <c r="R23" s="28">
        <v>4.75</v>
      </c>
      <c r="S23" s="28">
        <v>4.8499999999999996</v>
      </c>
      <c r="T23" s="28" t="s">
        <v>22</v>
      </c>
      <c r="U23" s="28">
        <v>-61.35</v>
      </c>
      <c r="V23" s="28">
        <v>4.8499999999999996</v>
      </c>
      <c r="W23" s="28">
        <v>10.71</v>
      </c>
      <c r="X23" s="28">
        <v>415827</v>
      </c>
      <c r="Y23" s="28">
        <v>20241</v>
      </c>
      <c r="Z23" s="28">
        <v>59202</v>
      </c>
      <c r="AA23" s="28">
        <v>-1.2999999999999999E-2</v>
      </c>
      <c r="AB23" s="28">
        <v>2.4500000000000002</v>
      </c>
      <c r="AC23" s="28">
        <v>-2.36</v>
      </c>
      <c r="AD23" s="28">
        <v>2.9999999999999997E-4</v>
      </c>
      <c r="AE23" s="28">
        <v>-0.04</v>
      </c>
    </row>
    <row r="24" spans="1:31" x14ac:dyDescent="0.25">
      <c r="A24" s="28">
        <v>0.96</v>
      </c>
      <c r="B24" s="28">
        <v>2.9999999999999997E-4</v>
      </c>
      <c r="C24" s="28">
        <v>-2.5499999999999998</v>
      </c>
      <c r="D24" s="28">
        <v>2.81</v>
      </c>
      <c r="E24" s="28">
        <v>0.311</v>
      </c>
      <c r="F24" s="28">
        <v>916</v>
      </c>
      <c r="G24" s="28">
        <v>-283</v>
      </c>
      <c r="H24" s="28">
        <v>1813</v>
      </c>
      <c r="I24" s="28">
        <v>10.19</v>
      </c>
      <c r="J24" s="28">
        <v>522.5</v>
      </c>
      <c r="K24" s="28">
        <v>16.21</v>
      </c>
      <c r="L24" s="28" t="s">
        <v>22</v>
      </c>
      <c r="M24" s="28">
        <v>520.15</v>
      </c>
      <c r="N24" s="28">
        <v>525.15</v>
      </c>
      <c r="O24" s="28" t="s">
        <v>22</v>
      </c>
      <c r="P24" s="29">
        <v>24950</v>
      </c>
      <c r="Q24" s="28" t="s">
        <v>22</v>
      </c>
      <c r="R24" s="28">
        <v>5.45</v>
      </c>
      <c r="S24" s="28">
        <v>5.6</v>
      </c>
      <c r="T24" s="28" t="s">
        <v>22</v>
      </c>
      <c r="U24" s="28">
        <v>-62.67</v>
      </c>
      <c r="V24" s="28">
        <v>5.6</v>
      </c>
      <c r="W24" s="28">
        <v>10.19</v>
      </c>
      <c r="X24" s="28">
        <v>273085</v>
      </c>
      <c r="Y24" s="28">
        <v>14297</v>
      </c>
      <c r="Z24" s="28">
        <v>33193</v>
      </c>
      <c r="AA24" s="28">
        <v>-1.6E-2</v>
      </c>
      <c r="AB24" s="28">
        <v>2.81</v>
      </c>
      <c r="AC24" s="28">
        <v>-2.5499999999999998</v>
      </c>
      <c r="AD24" s="28">
        <v>2.9999999999999997E-4</v>
      </c>
      <c r="AE24" s="28">
        <v>-0.04</v>
      </c>
    </row>
    <row r="25" spans="1:31" x14ac:dyDescent="0.25">
      <c r="A25" s="28">
        <v>0.95</v>
      </c>
      <c r="B25" s="28">
        <v>4.0000000000000002E-4</v>
      </c>
      <c r="C25" s="28">
        <v>-2.78</v>
      </c>
      <c r="D25" s="28">
        <v>3.26</v>
      </c>
      <c r="E25" s="28">
        <v>0.309</v>
      </c>
      <c r="F25" s="28">
        <v>21269</v>
      </c>
      <c r="G25" s="28">
        <v>-1900</v>
      </c>
      <c r="H25" s="28">
        <v>31283</v>
      </c>
      <c r="I25" s="28">
        <v>9.69</v>
      </c>
      <c r="J25" s="28">
        <v>473.75</v>
      </c>
      <c r="K25" s="28">
        <v>17.82</v>
      </c>
      <c r="L25" s="28" t="s">
        <v>22</v>
      </c>
      <c r="M25" s="28">
        <v>472.6</v>
      </c>
      <c r="N25" s="28">
        <v>474.15</v>
      </c>
      <c r="O25" s="28" t="s">
        <v>22</v>
      </c>
      <c r="P25" s="29">
        <v>25000</v>
      </c>
      <c r="Q25" s="28" t="s">
        <v>22</v>
      </c>
      <c r="R25" s="28">
        <v>6.6</v>
      </c>
      <c r="S25" s="28">
        <v>6.65</v>
      </c>
      <c r="T25" s="28" t="s">
        <v>22</v>
      </c>
      <c r="U25" s="28">
        <v>-63.74</v>
      </c>
      <c r="V25" s="28">
        <v>6.6</v>
      </c>
      <c r="W25" s="28">
        <v>9.69</v>
      </c>
      <c r="X25" s="28">
        <v>899355</v>
      </c>
      <c r="Y25" s="28">
        <v>54538</v>
      </c>
      <c r="Z25" s="28">
        <v>137463</v>
      </c>
      <c r="AA25" s="28">
        <v>-1.9E-2</v>
      </c>
      <c r="AB25" s="28">
        <v>3.26</v>
      </c>
      <c r="AC25" s="28">
        <v>-2.78</v>
      </c>
      <c r="AD25" s="28">
        <v>4.0000000000000002E-4</v>
      </c>
      <c r="AE25" s="28">
        <v>-0.05</v>
      </c>
    </row>
    <row r="26" spans="1:31" x14ac:dyDescent="0.25">
      <c r="A26" s="28">
        <v>0.94</v>
      </c>
      <c r="B26" s="28">
        <v>5.0000000000000001E-4</v>
      </c>
      <c r="C26" s="28">
        <v>-2.98</v>
      </c>
      <c r="D26" s="28">
        <v>3.76</v>
      </c>
      <c r="E26" s="28">
        <v>0.30499999999999999</v>
      </c>
      <c r="F26" s="28">
        <v>1995</v>
      </c>
      <c r="G26" s="28">
        <v>-858</v>
      </c>
      <c r="H26" s="28">
        <v>8435</v>
      </c>
      <c r="I26" s="28">
        <v>9.14</v>
      </c>
      <c r="J26" s="28">
        <v>425.3</v>
      </c>
      <c r="K26" s="28">
        <v>19.32</v>
      </c>
      <c r="L26" s="28" t="s">
        <v>22</v>
      </c>
      <c r="M26" s="28">
        <v>423.4</v>
      </c>
      <c r="N26" s="28">
        <v>427.1</v>
      </c>
      <c r="O26" s="28" t="s">
        <v>22</v>
      </c>
      <c r="P26" s="29">
        <v>25050</v>
      </c>
      <c r="Q26" s="28" t="s">
        <v>22</v>
      </c>
      <c r="R26" s="28">
        <v>7.65</v>
      </c>
      <c r="S26" s="28">
        <v>7.7</v>
      </c>
      <c r="T26" s="28" t="s">
        <v>22</v>
      </c>
      <c r="U26" s="28">
        <v>-65.319999999999993</v>
      </c>
      <c r="V26" s="28">
        <v>7.7</v>
      </c>
      <c r="W26" s="28">
        <v>9.14</v>
      </c>
      <c r="X26" s="28">
        <v>424562</v>
      </c>
      <c r="Y26" s="28">
        <v>9683</v>
      </c>
      <c r="Z26" s="28">
        <v>36714</v>
      </c>
      <c r="AA26" s="28">
        <v>-2.3E-2</v>
      </c>
      <c r="AB26" s="28">
        <v>3.76</v>
      </c>
      <c r="AC26" s="28">
        <v>-2.98</v>
      </c>
      <c r="AD26" s="28">
        <v>5.0000000000000001E-4</v>
      </c>
      <c r="AE26" s="28">
        <v>-0.06</v>
      </c>
    </row>
    <row r="27" spans="1:31" x14ac:dyDescent="0.25">
      <c r="A27" s="28">
        <v>0.92</v>
      </c>
      <c r="B27" s="28">
        <v>5.9999999999999995E-4</v>
      </c>
      <c r="C27" s="28">
        <v>-3.22</v>
      </c>
      <c r="D27" s="28">
        <v>4.38</v>
      </c>
      <c r="E27" s="28">
        <v>0.30399999999999999</v>
      </c>
      <c r="F27" s="28">
        <v>10137</v>
      </c>
      <c r="G27" s="28">
        <v>-3800</v>
      </c>
      <c r="H27" s="28">
        <v>45486</v>
      </c>
      <c r="I27" s="28">
        <v>8.61</v>
      </c>
      <c r="J27" s="28">
        <v>374.65</v>
      </c>
      <c r="K27" s="28">
        <v>20.23</v>
      </c>
      <c r="L27" s="28" t="s">
        <v>22</v>
      </c>
      <c r="M27" s="28">
        <v>375.9</v>
      </c>
      <c r="N27" s="28">
        <v>377.9</v>
      </c>
      <c r="O27" s="28" t="s">
        <v>22</v>
      </c>
      <c r="P27" s="29">
        <v>25100</v>
      </c>
      <c r="Q27" s="28" t="s">
        <v>22</v>
      </c>
      <c r="R27" s="28">
        <v>9.25</v>
      </c>
      <c r="S27" s="28">
        <v>9.35</v>
      </c>
      <c r="T27" s="28" t="s">
        <v>22</v>
      </c>
      <c r="U27" s="28">
        <v>-66.790000000000006</v>
      </c>
      <c r="V27" s="28">
        <v>9.1999999999999993</v>
      </c>
      <c r="W27" s="28">
        <v>8.61</v>
      </c>
      <c r="X27" s="28">
        <v>802168</v>
      </c>
      <c r="Y27" s="28">
        <v>2638</v>
      </c>
      <c r="Z27" s="28">
        <v>64308</v>
      </c>
      <c r="AA27" s="28">
        <v>-2.8000000000000001E-2</v>
      </c>
      <c r="AB27" s="28">
        <v>4.38</v>
      </c>
      <c r="AC27" s="28">
        <v>-3.22</v>
      </c>
      <c r="AD27" s="28">
        <v>5.9999999999999995E-4</v>
      </c>
      <c r="AE27" s="28">
        <v>-0.08</v>
      </c>
    </row>
    <row r="28" spans="1:31" x14ac:dyDescent="0.25">
      <c r="A28" s="28">
        <v>0.9</v>
      </c>
      <c r="B28" s="28">
        <v>6.9999999999999999E-4</v>
      </c>
      <c r="C28" s="28">
        <v>-3.57</v>
      </c>
      <c r="D28" s="28">
        <v>5.23</v>
      </c>
      <c r="E28" s="28">
        <v>0.29699999999999999</v>
      </c>
      <c r="F28" s="28">
        <v>5464</v>
      </c>
      <c r="G28" s="28">
        <v>-1727</v>
      </c>
      <c r="H28" s="28">
        <v>29703</v>
      </c>
      <c r="I28" s="28">
        <v>8.17</v>
      </c>
      <c r="J28" s="28">
        <v>327.35000000000002</v>
      </c>
      <c r="K28" s="28">
        <v>21.78</v>
      </c>
      <c r="L28" s="28" t="s">
        <v>22</v>
      </c>
      <c r="M28" s="28">
        <v>327.5</v>
      </c>
      <c r="N28" s="28">
        <v>329.9</v>
      </c>
      <c r="O28" s="28" t="s">
        <v>22</v>
      </c>
      <c r="P28" s="29">
        <v>25150</v>
      </c>
      <c r="Q28" s="28" t="s">
        <v>22</v>
      </c>
      <c r="R28" s="28">
        <v>11.6</v>
      </c>
      <c r="S28" s="28">
        <v>11.7</v>
      </c>
      <c r="T28" s="28" t="s">
        <v>22</v>
      </c>
      <c r="U28" s="28">
        <v>-66.62</v>
      </c>
      <c r="V28" s="28">
        <v>11.6</v>
      </c>
      <c r="W28" s="28">
        <v>8.17</v>
      </c>
      <c r="X28" s="28">
        <v>733360</v>
      </c>
      <c r="Y28" s="28">
        <v>2739</v>
      </c>
      <c r="Z28" s="28">
        <v>37834</v>
      </c>
      <c r="AA28" s="28">
        <v>-3.5000000000000003E-2</v>
      </c>
      <c r="AB28" s="28">
        <v>5.23</v>
      </c>
      <c r="AC28" s="28">
        <v>-3.57</v>
      </c>
      <c r="AD28" s="28">
        <v>6.9999999999999999E-4</v>
      </c>
      <c r="AE28" s="28">
        <v>-0.1</v>
      </c>
    </row>
    <row r="29" spans="1:31" x14ac:dyDescent="0.25">
      <c r="A29" s="28">
        <v>0.87</v>
      </c>
      <c r="B29" s="28">
        <v>8.9999999999999998E-4</v>
      </c>
      <c r="C29" s="28">
        <v>-3.94</v>
      </c>
      <c r="D29" s="28">
        <v>6.26</v>
      </c>
      <c r="E29" s="28">
        <v>0.28499999999999998</v>
      </c>
      <c r="F29" s="28">
        <v>34348</v>
      </c>
      <c r="G29" s="28">
        <v>-6929</v>
      </c>
      <c r="H29" s="28">
        <v>226864</v>
      </c>
      <c r="I29" s="28">
        <v>7.74</v>
      </c>
      <c r="J29" s="28">
        <v>283.10000000000002</v>
      </c>
      <c r="K29" s="28">
        <v>24</v>
      </c>
      <c r="L29" s="28" t="s">
        <v>22</v>
      </c>
      <c r="M29" s="28">
        <v>281.85000000000002</v>
      </c>
      <c r="N29" s="28">
        <v>283.8</v>
      </c>
      <c r="O29" s="28" t="s">
        <v>22</v>
      </c>
      <c r="P29" s="29">
        <v>25200</v>
      </c>
      <c r="Q29" s="28" t="s">
        <v>22</v>
      </c>
      <c r="R29" s="28">
        <v>14.85</v>
      </c>
      <c r="S29" s="28">
        <v>15</v>
      </c>
      <c r="T29" s="28" t="s">
        <v>22</v>
      </c>
      <c r="U29" s="28">
        <v>-66.14</v>
      </c>
      <c r="V29" s="28">
        <v>14.9</v>
      </c>
      <c r="W29" s="28">
        <v>7.74</v>
      </c>
      <c r="X29" s="28">
        <v>1463335</v>
      </c>
      <c r="Y29" s="28">
        <v>12556</v>
      </c>
      <c r="Z29" s="28">
        <v>114080</v>
      </c>
      <c r="AA29" s="28">
        <v>-4.4999999999999998E-2</v>
      </c>
      <c r="AB29" s="28">
        <v>6.26</v>
      </c>
      <c r="AC29" s="28">
        <v>-3.94</v>
      </c>
      <c r="AD29" s="28">
        <v>8.9999999999999998E-4</v>
      </c>
      <c r="AE29" s="28">
        <v>-0.13</v>
      </c>
    </row>
    <row r="30" spans="1:31" x14ac:dyDescent="0.25">
      <c r="A30" s="28">
        <v>0.83</v>
      </c>
      <c r="B30" s="28">
        <v>1.1999999999999999E-3</v>
      </c>
      <c r="C30" s="28">
        <v>-4.32</v>
      </c>
      <c r="D30" s="28">
        <v>7.48</v>
      </c>
      <c r="E30" s="28">
        <v>0.27500000000000002</v>
      </c>
      <c r="F30" s="28">
        <v>11804</v>
      </c>
      <c r="G30" s="28">
        <v>-6547</v>
      </c>
      <c r="H30" s="28">
        <v>183808</v>
      </c>
      <c r="I30" s="28">
        <v>7.35</v>
      </c>
      <c r="J30" s="28">
        <v>236.6</v>
      </c>
      <c r="K30" s="28">
        <v>24.43</v>
      </c>
      <c r="L30" s="28" t="s">
        <v>22</v>
      </c>
      <c r="M30" s="28">
        <v>236.75</v>
      </c>
      <c r="N30" s="28">
        <v>238.4</v>
      </c>
      <c r="O30" s="28" t="s">
        <v>22</v>
      </c>
      <c r="P30" s="29">
        <v>25250</v>
      </c>
      <c r="Q30" s="28" t="s">
        <v>22</v>
      </c>
      <c r="R30" s="28">
        <v>19.7</v>
      </c>
      <c r="S30" s="28">
        <v>19.8</v>
      </c>
      <c r="T30" s="28" t="s">
        <v>22</v>
      </c>
      <c r="U30" s="28">
        <v>-64.41</v>
      </c>
      <c r="V30" s="28">
        <v>19.7</v>
      </c>
      <c r="W30" s="28">
        <v>7.35</v>
      </c>
      <c r="X30" s="28">
        <v>1089446</v>
      </c>
      <c r="Y30" s="28">
        <v>-6660</v>
      </c>
      <c r="Z30" s="28">
        <v>57336</v>
      </c>
      <c r="AA30" s="28">
        <v>-5.8999999999999997E-2</v>
      </c>
      <c r="AB30" s="28">
        <v>7.48</v>
      </c>
      <c r="AC30" s="28">
        <v>-4.32</v>
      </c>
      <c r="AD30" s="28">
        <v>1.1999999999999999E-3</v>
      </c>
      <c r="AE30" s="28">
        <v>-0.17</v>
      </c>
    </row>
    <row r="31" spans="1:31" x14ac:dyDescent="0.25">
      <c r="A31" s="28">
        <v>0.78</v>
      </c>
      <c r="B31" s="28">
        <v>1.4E-3</v>
      </c>
      <c r="C31" s="28">
        <v>-4.62</v>
      </c>
      <c r="D31" s="28">
        <v>8.84</v>
      </c>
      <c r="E31" s="28">
        <v>0.25800000000000001</v>
      </c>
      <c r="F31" s="28">
        <v>42852</v>
      </c>
      <c r="G31" s="28">
        <v>-20935</v>
      </c>
      <c r="H31" s="28">
        <v>903650</v>
      </c>
      <c r="I31" s="28">
        <v>6.98</v>
      </c>
      <c r="J31" s="28">
        <v>194.35</v>
      </c>
      <c r="K31" s="28">
        <v>25.1</v>
      </c>
      <c r="L31" s="28" t="s">
        <v>22</v>
      </c>
      <c r="M31" s="28">
        <v>194.2</v>
      </c>
      <c r="N31" s="28">
        <v>195.4</v>
      </c>
      <c r="O31" s="28" t="s">
        <v>22</v>
      </c>
      <c r="P31" s="29">
        <v>25300</v>
      </c>
      <c r="Q31" s="28" t="s">
        <v>22</v>
      </c>
      <c r="R31" s="28">
        <v>26.5</v>
      </c>
      <c r="S31" s="28">
        <v>26.75</v>
      </c>
      <c r="T31" s="28" t="s">
        <v>22</v>
      </c>
      <c r="U31" s="28">
        <v>-62.44</v>
      </c>
      <c r="V31" s="28">
        <v>26.5</v>
      </c>
      <c r="W31" s="28">
        <v>6.98</v>
      </c>
      <c r="X31" s="28">
        <v>2254692</v>
      </c>
      <c r="Y31" s="28">
        <v>32913</v>
      </c>
      <c r="Z31" s="28">
        <v>125200</v>
      </c>
      <c r="AA31" s="28">
        <v>-7.6999999999999999E-2</v>
      </c>
      <c r="AB31" s="28">
        <v>8.84</v>
      </c>
      <c r="AC31" s="28">
        <v>-4.62</v>
      </c>
      <c r="AD31" s="28">
        <v>1.4E-3</v>
      </c>
      <c r="AE31" s="28">
        <v>-0.22</v>
      </c>
    </row>
    <row r="32" spans="1:31" x14ac:dyDescent="0.25">
      <c r="A32" s="28">
        <v>0.71</v>
      </c>
      <c r="B32" s="28">
        <v>1.6999999999999999E-3</v>
      </c>
      <c r="C32" s="28">
        <v>-4.84</v>
      </c>
      <c r="D32" s="28">
        <v>10.23</v>
      </c>
      <c r="E32" s="28">
        <v>0.23599999999999999</v>
      </c>
      <c r="F32" s="28">
        <v>28470</v>
      </c>
      <c r="G32" s="28">
        <v>-12686</v>
      </c>
      <c r="H32" s="28">
        <v>1073893</v>
      </c>
      <c r="I32" s="28">
        <v>6.73</v>
      </c>
      <c r="J32" s="28">
        <v>155.44999999999999</v>
      </c>
      <c r="K32" s="28">
        <v>25.06</v>
      </c>
      <c r="L32" s="28" t="s">
        <v>22</v>
      </c>
      <c r="M32" s="28">
        <v>155.30000000000001</v>
      </c>
      <c r="N32" s="28">
        <v>156</v>
      </c>
      <c r="O32" s="28" t="s">
        <v>22</v>
      </c>
      <c r="P32" s="29">
        <v>25350</v>
      </c>
      <c r="Q32" s="28" t="s">
        <v>22</v>
      </c>
      <c r="R32" s="28">
        <v>37</v>
      </c>
      <c r="S32" s="28">
        <v>37.25</v>
      </c>
      <c r="T32" s="28" t="s">
        <v>22</v>
      </c>
      <c r="U32" s="28">
        <v>-58.77</v>
      </c>
      <c r="V32" s="28">
        <v>37</v>
      </c>
      <c r="W32" s="28">
        <v>6.73</v>
      </c>
      <c r="X32" s="28">
        <v>2124373</v>
      </c>
      <c r="Y32" s="28">
        <v>24624</v>
      </c>
      <c r="Z32" s="28">
        <v>64941</v>
      </c>
      <c r="AA32" s="28">
        <v>-0.10199999999999999</v>
      </c>
      <c r="AB32" s="28">
        <v>10.23</v>
      </c>
      <c r="AC32" s="28">
        <v>-4.84</v>
      </c>
      <c r="AD32" s="28">
        <v>1.6999999999999999E-3</v>
      </c>
      <c r="AE32" s="28">
        <v>-0.28999999999999998</v>
      </c>
    </row>
    <row r="33" spans="1:31" x14ac:dyDescent="0.25">
      <c r="A33" s="29">
        <v>0.61</v>
      </c>
      <c r="B33" s="29">
        <v>1.6999999999999999E-3</v>
      </c>
      <c r="C33" s="29">
        <v>-5.71</v>
      </c>
      <c r="D33" s="29">
        <v>11.45</v>
      </c>
      <c r="E33" s="29">
        <v>0.21</v>
      </c>
      <c r="F33" s="29">
        <v>107027</v>
      </c>
      <c r="G33" s="29">
        <v>37782</v>
      </c>
      <c r="H33" s="29">
        <v>3346918</v>
      </c>
      <c r="I33" s="29">
        <v>7.4</v>
      </c>
      <c r="J33" s="29">
        <v>120</v>
      </c>
      <c r="K33" s="29">
        <v>22.95</v>
      </c>
      <c r="L33" s="29" t="s">
        <v>22</v>
      </c>
      <c r="M33" s="29">
        <v>119.2</v>
      </c>
      <c r="N33" s="29">
        <v>120.2</v>
      </c>
      <c r="O33" s="29" t="s">
        <v>22</v>
      </c>
      <c r="P33" s="29">
        <v>25400</v>
      </c>
      <c r="Q33" s="29" t="s">
        <v>22</v>
      </c>
      <c r="R33" s="29">
        <v>51</v>
      </c>
      <c r="S33" s="29">
        <v>51.45</v>
      </c>
      <c r="T33" s="29" t="s">
        <v>22</v>
      </c>
      <c r="U33" s="29">
        <v>-54.27</v>
      </c>
      <c r="V33" s="29">
        <v>51.45</v>
      </c>
      <c r="W33" s="29">
        <v>7.4</v>
      </c>
      <c r="X33" s="29">
        <v>3825627</v>
      </c>
      <c r="Y33" s="29">
        <v>85223</v>
      </c>
      <c r="Z33" s="29">
        <v>127144</v>
      </c>
      <c r="AA33" s="29">
        <v>-0.13300000000000001</v>
      </c>
      <c r="AB33" s="29">
        <v>11.45</v>
      </c>
      <c r="AC33" s="29">
        <v>-5.71</v>
      </c>
      <c r="AD33" s="29">
        <v>1.6999999999999999E-3</v>
      </c>
      <c r="AE33" s="29">
        <v>-0.39</v>
      </c>
    </row>
    <row r="34" spans="1:31" x14ac:dyDescent="0.25">
      <c r="A34" s="28">
        <v>0.52</v>
      </c>
      <c r="B34" s="28">
        <v>1.9E-3</v>
      </c>
      <c r="C34" s="28">
        <v>-5.09</v>
      </c>
      <c r="D34" s="28">
        <v>11.86</v>
      </c>
      <c r="E34" s="28">
        <v>0.17899999999999999</v>
      </c>
      <c r="F34" s="28">
        <v>77283</v>
      </c>
      <c r="G34" s="28">
        <v>47666</v>
      </c>
      <c r="H34" s="28">
        <v>2353489</v>
      </c>
      <c r="I34" s="28">
        <v>7.15</v>
      </c>
      <c r="J34" s="28">
        <v>89.1</v>
      </c>
      <c r="K34" s="28">
        <v>18.8</v>
      </c>
      <c r="L34" s="28" t="s">
        <v>22</v>
      </c>
      <c r="M34" s="28">
        <v>89.15</v>
      </c>
      <c r="N34" s="28">
        <v>90.2</v>
      </c>
      <c r="O34" s="28" t="s">
        <v>22</v>
      </c>
      <c r="P34" s="29">
        <v>25450</v>
      </c>
      <c r="Q34" s="28" t="s">
        <v>22</v>
      </c>
      <c r="R34" s="28">
        <v>70.8</v>
      </c>
      <c r="S34" s="28">
        <v>71.3</v>
      </c>
      <c r="T34" s="28" t="s">
        <v>22</v>
      </c>
      <c r="U34" s="28">
        <v>-48.98</v>
      </c>
      <c r="V34" s="28">
        <v>71.45</v>
      </c>
      <c r="W34" s="28">
        <v>7.15</v>
      </c>
      <c r="X34" s="28">
        <v>1966207</v>
      </c>
      <c r="Y34" s="28">
        <v>52014</v>
      </c>
      <c r="Z34" s="28">
        <v>59328</v>
      </c>
      <c r="AA34" s="28">
        <v>-0.16800000000000001</v>
      </c>
      <c r="AB34" s="28">
        <v>11.86</v>
      </c>
      <c r="AC34" s="28">
        <v>-5.09</v>
      </c>
      <c r="AD34" s="28">
        <v>1.9E-3</v>
      </c>
      <c r="AE34" s="28">
        <v>-0.48</v>
      </c>
    </row>
    <row r="35" spans="1:31" x14ac:dyDescent="0.25">
      <c r="A35" s="28">
        <v>0.42</v>
      </c>
      <c r="B35" s="28">
        <v>1.9E-3</v>
      </c>
      <c r="C35" s="28">
        <v>-4.12</v>
      </c>
      <c r="D35" s="28">
        <v>11.65</v>
      </c>
      <c r="E35" s="28">
        <v>0.14599999999999999</v>
      </c>
      <c r="F35" s="28">
        <v>153432</v>
      </c>
      <c r="G35" s="28">
        <v>57117</v>
      </c>
      <c r="H35" s="28">
        <v>3005470</v>
      </c>
      <c r="I35" s="28">
        <v>7.01</v>
      </c>
      <c r="J35" s="28">
        <v>64.2</v>
      </c>
      <c r="K35" s="28">
        <v>13.53</v>
      </c>
      <c r="L35" s="28" t="s">
        <v>22</v>
      </c>
      <c r="M35" s="28">
        <v>64.150000000000006</v>
      </c>
      <c r="N35" s="28">
        <v>64.2</v>
      </c>
      <c r="O35" s="28" t="s">
        <v>22</v>
      </c>
      <c r="P35" s="29">
        <v>25500</v>
      </c>
      <c r="Q35" s="28" t="s">
        <v>22</v>
      </c>
      <c r="R35" s="28">
        <v>95</v>
      </c>
      <c r="S35" s="28">
        <v>95.3</v>
      </c>
      <c r="T35" s="28" t="s">
        <v>22</v>
      </c>
      <c r="U35" s="28">
        <v>-44.4</v>
      </c>
      <c r="V35" s="28">
        <v>95.3</v>
      </c>
      <c r="W35" s="28">
        <v>7.01</v>
      </c>
      <c r="X35" s="28">
        <v>1733087</v>
      </c>
      <c r="Y35" s="28">
        <v>31882</v>
      </c>
      <c r="Z35" s="28">
        <v>46928</v>
      </c>
      <c r="AA35" s="28">
        <v>-0.20599999999999999</v>
      </c>
      <c r="AB35" s="28">
        <v>11.65</v>
      </c>
      <c r="AC35" s="28">
        <v>-4.12</v>
      </c>
      <c r="AD35" s="28">
        <v>1.9E-3</v>
      </c>
      <c r="AE35" s="28">
        <v>-0.57999999999999996</v>
      </c>
    </row>
    <row r="36" spans="1:31" x14ac:dyDescent="0.25">
      <c r="A36" s="28">
        <v>0.33</v>
      </c>
      <c r="B36" s="28">
        <v>1.8E-3</v>
      </c>
      <c r="C36" s="28">
        <v>-2.81</v>
      </c>
      <c r="D36" s="28">
        <v>10.79</v>
      </c>
      <c r="E36" s="28">
        <v>0.115</v>
      </c>
      <c r="F36" s="28">
        <v>59249</v>
      </c>
      <c r="G36" s="28">
        <v>34931</v>
      </c>
      <c r="H36" s="28">
        <v>1350526</v>
      </c>
      <c r="I36" s="28">
        <v>6.96</v>
      </c>
      <c r="J36" s="28">
        <v>44.95</v>
      </c>
      <c r="K36" s="28">
        <v>6.9</v>
      </c>
      <c r="L36" s="28" t="s">
        <v>22</v>
      </c>
      <c r="M36" s="28">
        <v>44.5</v>
      </c>
      <c r="N36" s="28">
        <v>44.95</v>
      </c>
      <c r="O36" s="28" t="s">
        <v>22</v>
      </c>
      <c r="P36" s="29">
        <v>25550</v>
      </c>
      <c r="Q36" s="28" t="s">
        <v>22</v>
      </c>
      <c r="R36" s="28">
        <v>125.4</v>
      </c>
      <c r="S36" s="28">
        <v>126</v>
      </c>
      <c r="T36" s="28" t="s">
        <v>22</v>
      </c>
      <c r="U36" s="28">
        <v>-39.549999999999997</v>
      </c>
      <c r="V36" s="28">
        <v>125.2</v>
      </c>
      <c r="W36" s="28">
        <v>6.96</v>
      </c>
      <c r="X36" s="28">
        <v>399055</v>
      </c>
      <c r="Y36" s="28">
        <v>5689</v>
      </c>
      <c r="Z36" s="28">
        <v>8389</v>
      </c>
      <c r="AA36" s="28">
        <v>-0.24399999999999999</v>
      </c>
      <c r="AB36" s="28">
        <v>10.79</v>
      </c>
      <c r="AC36" s="28">
        <v>-2.81</v>
      </c>
      <c r="AD36" s="28">
        <v>1.8E-3</v>
      </c>
      <c r="AE36" s="28">
        <v>-0.67</v>
      </c>
    </row>
    <row r="37" spans="1:31" x14ac:dyDescent="0.25">
      <c r="A37" s="28">
        <v>0.25</v>
      </c>
      <c r="B37" s="28">
        <v>1.5E-3</v>
      </c>
      <c r="C37" s="28">
        <v>-1.18</v>
      </c>
      <c r="D37" s="28">
        <v>9.4</v>
      </c>
      <c r="E37" s="28">
        <v>8.5999999999999993E-2</v>
      </c>
      <c r="F37" s="28">
        <v>95959</v>
      </c>
      <c r="G37" s="28">
        <v>45895</v>
      </c>
      <c r="H37" s="28">
        <v>1612777</v>
      </c>
      <c r="I37" s="28">
        <v>6.89</v>
      </c>
      <c r="J37" s="28">
        <v>30</v>
      </c>
      <c r="K37" s="28">
        <v>-3.38</v>
      </c>
      <c r="L37" s="28" t="s">
        <v>22</v>
      </c>
      <c r="M37" s="28">
        <v>29.7</v>
      </c>
      <c r="N37" s="28">
        <v>30</v>
      </c>
      <c r="O37" s="28" t="s">
        <v>22</v>
      </c>
      <c r="P37" s="29">
        <v>25600</v>
      </c>
      <c r="Q37" s="28" t="s">
        <v>22</v>
      </c>
      <c r="R37" s="28">
        <v>160.4</v>
      </c>
      <c r="S37" s="28">
        <v>161.44999999999999</v>
      </c>
      <c r="T37" s="28" t="s">
        <v>22</v>
      </c>
      <c r="U37" s="28">
        <v>-34.700000000000003</v>
      </c>
      <c r="V37" s="28">
        <v>161</v>
      </c>
      <c r="W37" s="28">
        <v>6.89</v>
      </c>
      <c r="X37" s="28">
        <v>387458</v>
      </c>
      <c r="Y37" s="28">
        <v>7307</v>
      </c>
      <c r="Z37" s="28">
        <v>10470</v>
      </c>
      <c r="AA37" s="28">
        <v>-0.27900000000000003</v>
      </c>
      <c r="AB37" s="28">
        <v>9.4</v>
      </c>
      <c r="AC37" s="28">
        <v>-1.18</v>
      </c>
      <c r="AD37" s="28">
        <v>1.5E-3</v>
      </c>
      <c r="AE37" s="28">
        <v>-0.75</v>
      </c>
    </row>
    <row r="38" spans="1:31" x14ac:dyDescent="0.25">
      <c r="A38" s="28">
        <v>0.18</v>
      </c>
      <c r="B38" s="28">
        <v>1.2999999999999999E-3</v>
      </c>
      <c r="C38" s="28">
        <v>0.46</v>
      </c>
      <c r="D38" s="28">
        <v>7.73</v>
      </c>
      <c r="E38" s="28">
        <v>6.0999999999999999E-2</v>
      </c>
      <c r="F38" s="28">
        <v>49063</v>
      </c>
      <c r="G38" s="28">
        <v>25163</v>
      </c>
      <c r="H38" s="28">
        <v>851664</v>
      </c>
      <c r="I38" s="28">
        <v>6.89</v>
      </c>
      <c r="J38" s="28">
        <v>19.55</v>
      </c>
      <c r="K38" s="28">
        <v>-13.88</v>
      </c>
      <c r="L38" s="28" t="s">
        <v>22</v>
      </c>
      <c r="M38" s="28">
        <v>19.55</v>
      </c>
      <c r="N38" s="28">
        <v>19.649999999999999</v>
      </c>
      <c r="O38" s="28" t="s">
        <v>22</v>
      </c>
      <c r="P38" s="29">
        <v>25650</v>
      </c>
      <c r="Q38" s="28" t="s">
        <v>22</v>
      </c>
      <c r="R38" s="28">
        <v>200.45</v>
      </c>
      <c r="S38" s="28">
        <v>201.2</v>
      </c>
      <c r="T38" s="28" t="s">
        <v>22</v>
      </c>
      <c r="U38" s="28">
        <v>-30.02</v>
      </c>
      <c r="V38" s="28">
        <v>201.6</v>
      </c>
      <c r="W38" s="28">
        <v>6.89</v>
      </c>
      <c r="X38" s="28">
        <v>68885</v>
      </c>
      <c r="Y38" s="28">
        <v>1572</v>
      </c>
      <c r="Z38" s="28">
        <v>2218</v>
      </c>
      <c r="AA38" s="28">
        <v>-0.307</v>
      </c>
      <c r="AB38" s="28">
        <v>7.73</v>
      </c>
      <c r="AC38" s="28">
        <v>0.46</v>
      </c>
      <c r="AD38" s="28">
        <v>1.2999999999999999E-3</v>
      </c>
      <c r="AE38" s="28">
        <v>-0.82</v>
      </c>
    </row>
    <row r="39" spans="1:31" x14ac:dyDescent="0.25">
      <c r="A39" s="28">
        <v>0.13</v>
      </c>
      <c r="B39" s="28">
        <v>1E-3</v>
      </c>
      <c r="C39" s="28">
        <v>1.85</v>
      </c>
      <c r="D39" s="28">
        <v>6.15</v>
      </c>
      <c r="E39" s="28">
        <v>4.3999999999999997E-2</v>
      </c>
      <c r="F39" s="28">
        <v>76184</v>
      </c>
      <c r="G39" s="28">
        <v>27253</v>
      </c>
      <c r="H39" s="28">
        <v>1015935</v>
      </c>
      <c r="I39" s="28">
        <v>7.01</v>
      </c>
      <c r="J39" s="28">
        <v>13</v>
      </c>
      <c r="K39" s="28">
        <v>-22.85</v>
      </c>
      <c r="L39" s="28" t="s">
        <v>22</v>
      </c>
      <c r="M39" s="28">
        <v>12.65</v>
      </c>
      <c r="N39" s="28">
        <v>13</v>
      </c>
      <c r="O39" s="28" t="s">
        <v>22</v>
      </c>
      <c r="P39" s="29">
        <v>25700</v>
      </c>
      <c r="Q39" s="28" t="s">
        <v>22</v>
      </c>
      <c r="R39" s="28">
        <v>242.95</v>
      </c>
      <c r="S39" s="28">
        <v>244.65</v>
      </c>
      <c r="T39" s="28" t="s">
        <v>22</v>
      </c>
      <c r="U39" s="28">
        <v>-26.33</v>
      </c>
      <c r="V39" s="28">
        <v>244.15</v>
      </c>
      <c r="W39" s="28">
        <v>7.01</v>
      </c>
      <c r="X39" s="28">
        <v>75641</v>
      </c>
      <c r="Y39" s="28">
        <v>1902</v>
      </c>
      <c r="Z39" s="28">
        <v>3409</v>
      </c>
      <c r="AA39" s="28">
        <v>-0.33500000000000002</v>
      </c>
      <c r="AB39" s="28">
        <v>6.15</v>
      </c>
      <c r="AC39" s="28">
        <v>1.85</v>
      </c>
      <c r="AD39" s="28">
        <v>1E-3</v>
      </c>
      <c r="AE39" s="28">
        <v>-0.87</v>
      </c>
    </row>
    <row r="40" spans="1:31" x14ac:dyDescent="0.25">
      <c r="A40" s="28">
        <v>0.09</v>
      </c>
      <c r="B40" s="28">
        <v>6.9999999999999999E-4</v>
      </c>
      <c r="C40" s="28">
        <v>3.11</v>
      </c>
      <c r="D40" s="28">
        <v>4.6900000000000004</v>
      </c>
      <c r="E40" s="28">
        <v>0.03</v>
      </c>
      <c r="F40" s="28">
        <v>46063</v>
      </c>
      <c r="G40" s="28">
        <v>21854</v>
      </c>
      <c r="H40" s="28">
        <v>773301</v>
      </c>
      <c r="I40" s="28">
        <v>7.12</v>
      </c>
      <c r="J40" s="28">
        <v>8.4</v>
      </c>
      <c r="K40" s="28">
        <v>-32.26</v>
      </c>
      <c r="L40" s="28" t="s">
        <v>22</v>
      </c>
      <c r="M40" s="28">
        <v>8.1999999999999993</v>
      </c>
      <c r="N40" s="28">
        <v>8.4</v>
      </c>
      <c r="O40" s="28" t="s">
        <v>22</v>
      </c>
      <c r="P40" s="29">
        <v>25750</v>
      </c>
      <c r="Q40" s="28" t="s">
        <v>22</v>
      </c>
      <c r="R40" s="28">
        <v>288.60000000000002</v>
      </c>
      <c r="S40" s="28">
        <v>290</v>
      </c>
      <c r="T40" s="28" t="s">
        <v>22</v>
      </c>
      <c r="U40" s="28">
        <v>-23.33</v>
      </c>
      <c r="V40" s="28">
        <v>289.10000000000002</v>
      </c>
      <c r="W40" s="28">
        <v>7.12</v>
      </c>
      <c r="X40" s="28">
        <v>10104</v>
      </c>
      <c r="Y40" s="28">
        <v>370</v>
      </c>
      <c r="Z40" s="28">
        <v>611</v>
      </c>
      <c r="AA40" s="28">
        <v>-0.35199999999999998</v>
      </c>
      <c r="AB40" s="28">
        <v>4.6900000000000004</v>
      </c>
      <c r="AC40" s="28">
        <v>3.11</v>
      </c>
      <c r="AD40" s="28">
        <v>6.9999999999999999E-4</v>
      </c>
      <c r="AE40" s="28">
        <v>-0.91</v>
      </c>
    </row>
    <row r="41" spans="1:31" x14ac:dyDescent="0.25">
      <c r="A41" s="28">
        <v>0.06</v>
      </c>
      <c r="B41" s="28">
        <v>5.9999999999999995E-4</v>
      </c>
      <c r="C41" s="28">
        <v>3.99</v>
      </c>
      <c r="D41" s="28">
        <v>3.6</v>
      </c>
      <c r="E41" s="28">
        <v>2.1000000000000001E-2</v>
      </c>
      <c r="F41" s="28">
        <v>114925</v>
      </c>
      <c r="G41" s="28">
        <v>64233</v>
      </c>
      <c r="H41" s="28">
        <v>991686</v>
      </c>
      <c r="I41" s="28">
        <v>7.35</v>
      </c>
      <c r="J41" s="28">
        <v>5.75</v>
      </c>
      <c r="K41" s="28">
        <v>-38.17</v>
      </c>
      <c r="L41" s="28" t="s">
        <v>22</v>
      </c>
      <c r="M41" s="28">
        <v>5.6</v>
      </c>
      <c r="N41" s="28">
        <v>5.7</v>
      </c>
      <c r="O41" s="28" t="s">
        <v>22</v>
      </c>
      <c r="P41" s="29">
        <v>25800</v>
      </c>
      <c r="Q41" s="28" t="s">
        <v>22</v>
      </c>
      <c r="R41" s="28">
        <v>335.7</v>
      </c>
      <c r="S41" s="28">
        <v>337.3</v>
      </c>
      <c r="T41" s="28" t="s">
        <v>22</v>
      </c>
      <c r="U41" s="28">
        <v>-20.48</v>
      </c>
      <c r="V41" s="28">
        <v>336.9</v>
      </c>
      <c r="W41" s="28">
        <v>7.35</v>
      </c>
      <c r="X41" s="28">
        <v>15156</v>
      </c>
      <c r="Y41" s="28">
        <v>595</v>
      </c>
      <c r="Z41" s="28">
        <v>2060</v>
      </c>
      <c r="AA41" s="28">
        <v>-0.35299999999999998</v>
      </c>
      <c r="AB41" s="28">
        <v>3.6</v>
      </c>
      <c r="AC41" s="28">
        <v>3.99</v>
      </c>
      <c r="AD41" s="28">
        <v>5.9999999999999995E-4</v>
      </c>
      <c r="AE41" s="28">
        <v>-0.94</v>
      </c>
    </row>
    <row r="42" spans="1:31" x14ac:dyDescent="0.25">
      <c r="A42" s="28">
        <v>0.04</v>
      </c>
      <c r="B42" s="28">
        <v>4.0000000000000002E-4</v>
      </c>
      <c r="C42" s="28">
        <v>4.6900000000000004</v>
      </c>
      <c r="D42" s="28">
        <v>2.74</v>
      </c>
      <c r="E42" s="28">
        <v>1.4999999999999999E-2</v>
      </c>
      <c r="F42" s="28">
        <v>38475</v>
      </c>
      <c r="G42" s="28">
        <v>17091</v>
      </c>
      <c r="H42" s="28">
        <v>523043</v>
      </c>
      <c r="I42" s="28">
        <v>7.6</v>
      </c>
      <c r="J42" s="28">
        <v>4</v>
      </c>
      <c r="K42" s="28">
        <v>-43.26</v>
      </c>
      <c r="L42" s="28" t="s">
        <v>22</v>
      </c>
      <c r="M42" s="28">
        <v>3.9</v>
      </c>
      <c r="N42" s="28">
        <v>4</v>
      </c>
      <c r="O42" s="28" t="s">
        <v>22</v>
      </c>
      <c r="P42" s="29">
        <v>25850</v>
      </c>
      <c r="Q42" s="28" t="s">
        <v>22</v>
      </c>
      <c r="R42" s="28">
        <v>383.95</v>
      </c>
      <c r="S42" s="28">
        <v>389</v>
      </c>
      <c r="T42" s="28" t="s">
        <v>22</v>
      </c>
      <c r="U42" s="28">
        <v>-18.21</v>
      </c>
      <c r="V42" s="28">
        <v>385.2</v>
      </c>
      <c r="W42" s="28">
        <v>7.6</v>
      </c>
      <c r="X42" s="28">
        <v>2629</v>
      </c>
      <c r="Y42" s="28">
        <v>144</v>
      </c>
      <c r="Z42" s="28">
        <v>285</v>
      </c>
      <c r="AA42" s="28">
        <v>-0.35399999999999998</v>
      </c>
      <c r="AB42" s="28">
        <v>2.74</v>
      </c>
      <c r="AC42" s="28">
        <v>4.6900000000000004</v>
      </c>
      <c r="AD42" s="28">
        <v>4.0000000000000002E-4</v>
      </c>
      <c r="AE42" s="28">
        <v>-0.96</v>
      </c>
    </row>
    <row r="43" spans="1:31" x14ac:dyDescent="0.25">
      <c r="A43" s="28">
        <v>0.03</v>
      </c>
      <c r="B43" s="28">
        <v>2.9999999999999997E-4</v>
      </c>
      <c r="C43" s="28">
        <v>5.19</v>
      </c>
      <c r="D43" s="28">
        <v>2.12</v>
      </c>
      <c r="E43" s="28">
        <v>1.0999999999999999E-2</v>
      </c>
      <c r="F43" s="28">
        <v>57711</v>
      </c>
      <c r="G43" s="28">
        <v>17954</v>
      </c>
      <c r="H43" s="28">
        <v>559058</v>
      </c>
      <c r="I43" s="28">
        <v>7.9</v>
      </c>
      <c r="J43" s="28">
        <v>2.9</v>
      </c>
      <c r="K43" s="28">
        <v>-47.27</v>
      </c>
      <c r="L43" s="28" t="s">
        <v>22</v>
      </c>
      <c r="M43" s="28">
        <v>2.85</v>
      </c>
      <c r="N43" s="28">
        <v>2.95</v>
      </c>
      <c r="O43" s="28" t="s">
        <v>22</v>
      </c>
      <c r="P43" s="29">
        <v>25900</v>
      </c>
      <c r="Q43" s="28" t="s">
        <v>22</v>
      </c>
      <c r="R43" s="28">
        <v>431.45</v>
      </c>
      <c r="S43" s="28">
        <v>437.45</v>
      </c>
      <c r="T43" s="28" t="s">
        <v>22</v>
      </c>
      <c r="U43" s="28">
        <v>-15.67</v>
      </c>
      <c r="V43" s="28">
        <v>437.65</v>
      </c>
      <c r="W43" s="28">
        <v>7.9</v>
      </c>
      <c r="X43" s="28">
        <v>3661</v>
      </c>
      <c r="Y43" s="28">
        <v>171</v>
      </c>
      <c r="Z43" s="28">
        <v>382</v>
      </c>
      <c r="AA43" s="28">
        <v>-0.35399999999999998</v>
      </c>
      <c r="AB43" s="28">
        <v>2.12</v>
      </c>
      <c r="AC43" s="28">
        <v>5.19</v>
      </c>
      <c r="AD43" s="28">
        <v>2.9999999999999997E-4</v>
      </c>
      <c r="AE43" s="28">
        <v>-0.97</v>
      </c>
    </row>
    <row r="44" spans="1:31" x14ac:dyDescent="0.25">
      <c r="A44" s="28">
        <v>0.02</v>
      </c>
      <c r="B44" s="28">
        <v>2.0000000000000001E-4</v>
      </c>
      <c r="C44" s="28">
        <v>5.52</v>
      </c>
      <c r="D44" s="28">
        <v>1.7</v>
      </c>
      <c r="E44" s="28">
        <v>8.0000000000000002E-3</v>
      </c>
      <c r="F44" s="28">
        <v>34551</v>
      </c>
      <c r="G44" s="28">
        <v>17373</v>
      </c>
      <c r="H44" s="28">
        <v>391911</v>
      </c>
      <c r="I44" s="28">
        <v>8.27</v>
      </c>
      <c r="J44" s="28">
        <v>2.25</v>
      </c>
      <c r="K44" s="28">
        <v>-47.67</v>
      </c>
      <c r="L44" s="28" t="s">
        <v>22</v>
      </c>
      <c r="M44" s="28">
        <v>2.25</v>
      </c>
      <c r="N44" s="28">
        <v>2.35</v>
      </c>
      <c r="O44" s="28" t="s">
        <v>22</v>
      </c>
      <c r="P44" s="29">
        <v>25950</v>
      </c>
      <c r="Q44" s="28" t="s">
        <v>22</v>
      </c>
      <c r="R44" s="28">
        <v>479.3</v>
      </c>
      <c r="S44" s="28">
        <v>487.1</v>
      </c>
      <c r="T44" s="28" t="s">
        <v>22</v>
      </c>
      <c r="U44" s="28">
        <v>-15.26</v>
      </c>
      <c r="V44" s="28">
        <v>481.7</v>
      </c>
      <c r="W44" s="28">
        <v>8.27</v>
      </c>
      <c r="X44" s="28">
        <v>439</v>
      </c>
      <c r="Y44" s="28">
        <v>50</v>
      </c>
      <c r="Z44" s="28">
        <v>92</v>
      </c>
      <c r="AA44" s="28">
        <v>-0.35499999999999998</v>
      </c>
      <c r="AB44" s="28">
        <v>1.7</v>
      </c>
      <c r="AC44" s="28">
        <v>5.52</v>
      </c>
      <c r="AD44" s="28">
        <v>2.0000000000000001E-4</v>
      </c>
      <c r="AE44" s="28">
        <v>-0.98</v>
      </c>
    </row>
    <row r="45" spans="1:31" x14ac:dyDescent="0.25">
      <c r="A45" s="28">
        <v>0.02</v>
      </c>
      <c r="B45" s="28">
        <v>2.0000000000000001E-4</v>
      </c>
      <c r="C45" s="28">
        <v>5.66</v>
      </c>
      <c r="D45" s="28">
        <v>1.49</v>
      </c>
      <c r="E45" s="28">
        <v>7.0000000000000001E-3</v>
      </c>
      <c r="F45" s="28">
        <v>151983</v>
      </c>
      <c r="G45" s="28">
        <v>37285</v>
      </c>
      <c r="H45" s="28">
        <v>897349</v>
      </c>
      <c r="I45" s="28">
        <v>8.8000000000000007</v>
      </c>
      <c r="J45" s="28">
        <v>2</v>
      </c>
      <c r="K45" s="28">
        <v>-44.44</v>
      </c>
      <c r="L45" s="28" t="s">
        <v>22</v>
      </c>
      <c r="M45" s="28">
        <v>1.9</v>
      </c>
      <c r="N45" s="28">
        <v>2</v>
      </c>
      <c r="O45" s="28" t="s">
        <v>22</v>
      </c>
      <c r="P45" s="29">
        <v>26000</v>
      </c>
      <c r="Q45" s="28" t="s">
        <v>22</v>
      </c>
      <c r="R45" s="28">
        <v>530.54999999999995</v>
      </c>
      <c r="S45" s="28">
        <v>535.5</v>
      </c>
      <c r="T45" s="28" t="s">
        <v>22</v>
      </c>
      <c r="U45" s="28">
        <v>-13.6</v>
      </c>
      <c r="V45" s="28">
        <v>533</v>
      </c>
      <c r="W45" s="28">
        <v>8.8000000000000007</v>
      </c>
      <c r="X45" s="28">
        <v>3969</v>
      </c>
      <c r="Y45" s="28">
        <v>39</v>
      </c>
      <c r="Z45" s="28">
        <v>2604</v>
      </c>
      <c r="AA45" s="28">
        <v>-0.35599999999999998</v>
      </c>
      <c r="AB45" s="28">
        <v>1.49</v>
      </c>
      <c r="AC45" s="28">
        <v>5.66</v>
      </c>
      <c r="AD45" s="28">
        <v>2.0000000000000001E-4</v>
      </c>
      <c r="AE45" s="28">
        <v>-0.98</v>
      </c>
    </row>
    <row r="46" spans="1:31" x14ac:dyDescent="0.25">
      <c r="A46" s="28">
        <v>0.02</v>
      </c>
      <c r="B46" s="28">
        <v>1E-4</v>
      </c>
      <c r="C46" s="28">
        <v>5.93</v>
      </c>
      <c r="D46" s="28">
        <v>1.19</v>
      </c>
      <c r="E46" s="28">
        <v>6.0000000000000001E-3</v>
      </c>
      <c r="F46" s="28">
        <v>35208</v>
      </c>
      <c r="G46" s="28">
        <v>19395</v>
      </c>
      <c r="H46" s="28">
        <v>258531</v>
      </c>
      <c r="I46" s="28">
        <v>9.1300000000000008</v>
      </c>
      <c r="J46" s="28">
        <v>1.55</v>
      </c>
      <c r="K46" s="28">
        <v>-45.61</v>
      </c>
      <c r="L46" s="28" t="s">
        <v>22</v>
      </c>
      <c r="M46" s="28">
        <v>1.55</v>
      </c>
      <c r="N46" s="28">
        <v>1.6</v>
      </c>
      <c r="O46" s="28" t="s">
        <v>22</v>
      </c>
      <c r="P46" s="29">
        <v>26050</v>
      </c>
      <c r="Q46" s="28" t="s">
        <v>22</v>
      </c>
      <c r="R46" s="28">
        <v>533</v>
      </c>
      <c r="S46" s="28">
        <v>588.45000000000005</v>
      </c>
      <c r="T46" s="28" t="s">
        <v>22</v>
      </c>
      <c r="U46" s="28">
        <v>-13.27</v>
      </c>
      <c r="V46" s="28">
        <v>580.04999999999995</v>
      </c>
      <c r="W46" s="28">
        <v>9.1300000000000008</v>
      </c>
      <c r="X46" s="28">
        <v>228</v>
      </c>
      <c r="Y46" s="28">
        <v>14</v>
      </c>
      <c r="Z46" s="28">
        <v>26</v>
      </c>
      <c r="AA46" s="28">
        <v>-0.35599999999999998</v>
      </c>
      <c r="AB46" s="28">
        <v>1.19</v>
      </c>
      <c r="AC46" s="28">
        <v>5.93</v>
      </c>
      <c r="AD46" s="28">
        <v>1E-4</v>
      </c>
      <c r="AE46" s="28">
        <v>-0.98</v>
      </c>
    </row>
    <row r="47" spans="1:31" x14ac:dyDescent="0.25">
      <c r="A47" s="28">
        <v>0.01</v>
      </c>
      <c r="B47" s="28">
        <v>1E-4</v>
      </c>
      <c r="C47" s="28">
        <v>6.06</v>
      </c>
      <c r="D47" s="28">
        <v>1.03</v>
      </c>
      <c r="E47" s="28">
        <v>5.0000000000000001E-3</v>
      </c>
      <c r="F47" s="28">
        <v>62954</v>
      </c>
      <c r="G47" s="28">
        <v>37817</v>
      </c>
      <c r="H47" s="28">
        <v>488668</v>
      </c>
      <c r="I47" s="28">
        <v>9.6</v>
      </c>
      <c r="J47" s="28">
        <v>1.35</v>
      </c>
      <c r="K47" s="28">
        <v>-44.9</v>
      </c>
      <c r="L47" s="28" t="s">
        <v>22</v>
      </c>
      <c r="M47" s="28">
        <v>1.35</v>
      </c>
      <c r="N47" s="28">
        <v>1.4</v>
      </c>
      <c r="O47" s="28" t="s">
        <v>22</v>
      </c>
      <c r="P47" s="29">
        <v>26100</v>
      </c>
      <c r="Q47" s="28" t="s">
        <v>22</v>
      </c>
      <c r="R47" s="28">
        <v>628</v>
      </c>
      <c r="S47" s="28">
        <v>638.70000000000005</v>
      </c>
      <c r="T47" s="28" t="s">
        <v>22</v>
      </c>
      <c r="U47" s="28">
        <v>-12.09</v>
      </c>
      <c r="V47" s="28">
        <v>629.95000000000005</v>
      </c>
      <c r="W47" s="28">
        <v>9.6</v>
      </c>
      <c r="X47" s="28">
        <v>154</v>
      </c>
      <c r="Y47" s="28">
        <v>12</v>
      </c>
      <c r="Z47" s="28">
        <v>111</v>
      </c>
      <c r="AA47" s="28">
        <v>-0.35699999999999998</v>
      </c>
      <c r="AB47" s="28">
        <v>1.03</v>
      </c>
      <c r="AC47" s="28">
        <v>6.06</v>
      </c>
      <c r="AD47" s="28">
        <v>1E-4</v>
      </c>
      <c r="AE47" s="28">
        <v>-0.99</v>
      </c>
    </row>
    <row r="48" spans="1:31" x14ac:dyDescent="0.25">
      <c r="A48" s="28">
        <v>0.01</v>
      </c>
      <c r="B48" s="28">
        <v>1E-4</v>
      </c>
      <c r="C48" s="28">
        <v>6.16</v>
      </c>
      <c r="D48" s="28">
        <v>0.91</v>
      </c>
      <c r="E48" s="28">
        <v>4.0000000000000001E-3</v>
      </c>
      <c r="F48" s="28">
        <v>17645</v>
      </c>
      <c r="G48" s="28">
        <v>8370</v>
      </c>
      <c r="H48" s="28">
        <v>189661</v>
      </c>
      <c r="I48" s="28">
        <v>10.07</v>
      </c>
      <c r="J48" s="28">
        <v>1.2</v>
      </c>
      <c r="K48" s="28">
        <v>-42.86</v>
      </c>
      <c r="L48" s="28" t="s">
        <v>22</v>
      </c>
      <c r="M48" s="28">
        <v>1.1499999999999999</v>
      </c>
      <c r="N48" s="28">
        <v>1.25</v>
      </c>
      <c r="O48" s="28" t="s">
        <v>22</v>
      </c>
      <c r="P48" s="29">
        <v>26150</v>
      </c>
      <c r="Q48" s="28" t="s">
        <v>22</v>
      </c>
      <c r="R48" s="28">
        <v>627.25</v>
      </c>
      <c r="S48" s="28">
        <v>727.4</v>
      </c>
      <c r="T48" s="28" t="s">
        <v>22</v>
      </c>
      <c r="U48" s="28">
        <v>0.36</v>
      </c>
      <c r="V48" s="28">
        <v>768.15</v>
      </c>
      <c r="W48" s="28">
        <v>10.07</v>
      </c>
      <c r="X48" s="28">
        <v>0</v>
      </c>
      <c r="Y48" s="28">
        <v>0</v>
      </c>
      <c r="Z48" s="28">
        <v>7</v>
      </c>
      <c r="AA48" s="28">
        <v>-0.29299999999999998</v>
      </c>
      <c r="AB48" s="28">
        <v>0.91</v>
      </c>
      <c r="AC48" s="28">
        <v>6.16</v>
      </c>
      <c r="AD48" s="28">
        <v>1E-4</v>
      </c>
      <c r="AE48" s="28">
        <v>-0.99</v>
      </c>
    </row>
    <row r="49" spans="1:31" x14ac:dyDescent="0.25">
      <c r="A49" s="28">
        <v>0.01</v>
      </c>
      <c r="B49" s="28">
        <v>1E-4</v>
      </c>
      <c r="C49" s="28">
        <v>6.2</v>
      </c>
      <c r="D49" s="28">
        <v>0.84</v>
      </c>
      <c r="E49" s="28">
        <v>4.0000000000000001E-3</v>
      </c>
      <c r="F49" s="28">
        <v>51126</v>
      </c>
      <c r="G49" s="28">
        <v>6541</v>
      </c>
      <c r="H49" s="28">
        <v>397777</v>
      </c>
      <c r="I49" s="28">
        <v>10.63</v>
      </c>
      <c r="J49" s="28">
        <v>1.1499999999999999</v>
      </c>
      <c r="K49" s="28">
        <v>-36.11</v>
      </c>
      <c r="L49" s="28" t="s">
        <v>22</v>
      </c>
      <c r="M49" s="28">
        <v>1.1499999999999999</v>
      </c>
      <c r="N49" s="28">
        <v>1.2</v>
      </c>
      <c r="O49" s="28" t="s">
        <v>22</v>
      </c>
      <c r="P49" s="29">
        <v>26200</v>
      </c>
      <c r="Q49" s="28" t="s">
        <v>22</v>
      </c>
      <c r="R49" s="28">
        <v>727.15</v>
      </c>
      <c r="S49" s="28">
        <v>734.7</v>
      </c>
      <c r="T49" s="28" t="s">
        <v>22</v>
      </c>
      <c r="U49" s="28">
        <v>-10.59</v>
      </c>
      <c r="V49" s="28">
        <v>729.75</v>
      </c>
      <c r="W49" s="28">
        <v>10.63</v>
      </c>
      <c r="X49" s="28">
        <v>806</v>
      </c>
      <c r="Y49" s="28">
        <v>32</v>
      </c>
      <c r="Z49" s="28">
        <v>107</v>
      </c>
      <c r="AA49" s="28">
        <v>-0.35799999999999998</v>
      </c>
      <c r="AB49" s="28">
        <v>0.84</v>
      </c>
      <c r="AC49" s="28">
        <v>6.2</v>
      </c>
      <c r="AD49" s="28">
        <v>1E-4</v>
      </c>
      <c r="AE49" s="28">
        <v>-0.99</v>
      </c>
    </row>
    <row r="50" spans="1:31" x14ac:dyDescent="0.25">
      <c r="A50" s="28">
        <v>0.01</v>
      </c>
      <c r="B50" s="28">
        <v>1E-4</v>
      </c>
      <c r="C50" s="28">
        <v>6.28</v>
      </c>
      <c r="D50" s="28">
        <v>0.76</v>
      </c>
      <c r="E50" s="28">
        <v>3.0000000000000001E-3</v>
      </c>
      <c r="F50" s="28">
        <v>11397</v>
      </c>
      <c r="G50" s="28">
        <v>4370</v>
      </c>
      <c r="H50" s="28">
        <v>124342</v>
      </c>
      <c r="I50" s="28">
        <v>11.12</v>
      </c>
      <c r="J50" s="28">
        <v>1.05</v>
      </c>
      <c r="K50" s="28">
        <v>-36.36</v>
      </c>
      <c r="L50" s="28" t="s">
        <v>22</v>
      </c>
      <c r="M50" s="28">
        <v>1.05</v>
      </c>
      <c r="N50" s="28">
        <v>1.1000000000000001</v>
      </c>
      <c r="O50" s="28" t="s">
        <v>22</v>
      </c>
      <c r="P50" s="29">
        <v>26250</v>
      </c>
      <c r="Q50" s="28" t="s">
        <v>22</v>
      </c>
      <c r="R50" s="28">
        <v>725.85</v>
      </c>
      <c r="S50" s="28">
        <v>828.35</v>
      </c>
      <c r="T50" s="28" t="s">
        <v>22</v>
      </c>
      <c r="U50" s="28">
        <v>-0.01</v>
      </c>
      <c r="V50" s="28">
        <v>865.9</v>
      </c>
      <c r="W50" s="28">
        <v>11.12</v>
      </c>
      <c r="X50" s="28">
        <v>0</v>
      </c>
      <c r="Y50" s="28">
        <v>0</v>
      </c>
      <c r="Z50" s="28">
        <v>7</v>
      </c>
      <c r="AA50" s="28">
        <v>-0.29899999999999999</v>
      </c>
      <c r="AB50" s="28">
        <v>0.76</v>
      </c>
      <c r="AC50" s="28">
        <v>6.28</v>
      </c>
      <c r="AD50" s="28">
        <v>1E-4</v>
      </c>
      <c r="AE50" s="28">
        <v>-0.99</v>
      </c>
    </row>
    <row r="51" spans="1:31" x14ac:dyDescent="0.25">
      <c r="A51" s="28">
        <v>0.01</v>
      </c>
      <c r="B51" s="28">
        <v>1E-4</v>
      </c>
      <c r="C51" s="28">
        <v>6.32</v>
      </c>
      <c r="D51" s="28">
        <v>0.7</v>
      </c>
      <c r="E51" s="28">
        <v>3.0000000000000001E-3</v>
      </c>
      <c r="F51" s="28">
        <v>36432</v>
      </c>
      <c r="G51" s="28">
        <v>10265</v>
      </c>
      <c r="H51" s="28">
        <v>269850</v>
      </c>
      <c r="I51" s="28">
        <v>11.65</v>
      </c>
      <c r="J51" s="28">
        <v>1</v>
      </c>
      <c r="K51" s="28">
        <v>-31.03</v>
      </c>
      <c r="L51" s="28" t="s">
        <v>22</v>
      </c>
      <c r="M51" s="28">
        <v>1</v>
      </c>
      <c r="N51" s="28">
        <v>1.05</v>
      </c>
      <c r="O51" s="28" t="s">
        <v>22</v>
      </c>
      <c r="P51" s="29">
        <v>26300</v>
      </c>
      <c r="Q51" s="28" t="s">
        <v>22</v>
      </c>
      <c r="R51" s="28">
        <v>778.65</v>
      </c>
      <c r="S51" s="28">
        <v>880.5</v>
      </c>
      <c r="T51" s="28" t="s">
        <v>22</v>
      </c>
      <c r="U51" s="28">
        <v>0</v>
      </c>
      <c r="V51" s="28">
        <v>914.45</v>
      </c>
      <c r="W51" s="28">
        <v>11.65</v>
      </c>
      <c r="X51" s="28">
        <v>0</v>
      </c>
      <c r="Y51" s="28">
        <v>0</v>
      </c>
      <c r="Z51" s="28">
        <v>17</v>
      </c>
      <c r="AA51" s="28">
        <v>-0.30199999999999999</v>
      </c>
      <c r="AB51" s="28">
        <v>0.7</v>
      </c>
      <c r="AC51" s="28">
        <v>6.32</v>
      </c>
      <c r="AD51" s="28">
        <v>1E-4</v>
      </c>
      <c r="AE51" s="28">
        <v>-0.99</v>
      </c>
    </row>
    <row r="52" spans="1:31" x14ac:dyDescent="0.25">
      <c r="A52" s="28">
        <v>0.01</v>
      </c>
      <c r="B52" s="28">
        <v>1E-4</v>
      </c>
      <c r="C52" s="28">
        <v>6.36</v>
      </c>
      <c r="D52" s="28">
        <v>0.65</v>
      </c>
      <c r="E52" s="28">
        <v>3.0000000000000001E-3</v>
      </c>
      <c r="F52" s="28">
        <v>4595</v>
      </c>
      <c r="G52" s="28">
        <v>1192</v>
      </c>
      <c r="H52" s="28">
        <v>62883</v>
      </c>
      <c r="I52" s="28">
        <v>12.16</v>
      </c>
      <c r="J52" s="28">
        <v>0.95</v>
      </c>
      <c r="K52" s="28">
        <v>-29.63</v>
      </c>
      <c r="L52" s="28" t="s">
        <v>22</v>
      </c>
      <c r="M52" s="28">
        <v>0.95</v>
      </c>
      <c r="N52" s="28">
        <v>1</v>
      </c>
      <c r="O52" s="28" t="s">
        <v>22</v>
      </c>
      <c r="P52" s="29">
        <v>26350</v>
      </c>
      <c r="Q52" s="28" t="s">
        <v>22</v>
      </c>
      <c r="R52" s="28">
        <v>832.6</v>
      </c>
      <c r="S52" s="28">
        <v>930.5</v>
      </c>
      <c r="T52" s="28" t="s">
        <v>22</v>
      </c>
      <c r="U52" s="28">
        <v>-11.47</v>
      </c>
      <c r="V52" s="28">
        <v>855.45</v>
      </c>
      <c r="W52" s="28">
        <v>12.16</v>
      </c>
      <c r="X52" s="28">
        <v>56</v>
      </c>
      <c r="Y52" s="28">
        <v>2</v>
      </c>
      <c r="Z52" s="28">
        <v>7</v>
      </c>
      <c r="AA52" s="28">
        <v>-0.36</v>
      </c>
      <c r="AB52" s="28">
        <v>0.65</v>
      </c>
      <c r="AC52" s="28">
        <v>6.36</v>
      </c>
      <c r="AD52" s="28">
        <v>1E-4</v>
      </c>
      <c r="AE52" s="28">
        <v>-0.99</v>
      </c>
    </row>
    <row r="53" spans="1:31" x14ac:dyDescent="0.25">
      <c r="A53" s="28">
        <v>0.01</v>
      </c>
      <c r="B53" s="28">
        <v>1E-4</v>
      </c>
      <c r="C53" s="28">
        <v>6.41</v>
      </c>
      <c r="D53" s="28">
        <v>0.6</v>
      </c>
      <c r="E53" s="28">
        <v>3.0000000000000001E-3</v>
      </c>
      <c r="F53" s="28">
        <v>56026</v>
      </c>
      <c r="G53" s="28">
        <v>36553</v>
      </c>
      <c r="H53" s="28">
        <v>257740</v>
      </c>
      <c r="I53" s="28">
        <v>12.67</v>
      </c>
      <c r="J53" s="28">
        <v>0.9</v>
      </c>
      <c r="K53" s="28">
        <v>-30.77</v>
      </c>
      <c r="L53" s="28" t="s">
        <v>22</v>
      </c>
      <c r="M53" s="28">
        <v>0.9</v>
      </c>
      <c r="N53" s="28">
        <v>1</v>
      </c>
      <c r="O53" s="28" t="s">
        <v>22</v>
      </c>
      <c r="P53" s="29">
        <v>26400</v>
      </c>
      <c r="Q53" s="28" t="s">
        <v>22</v>
      </c>
      <c r="R53" s="28">
        <v>878.85</v>
      </c>
      <c r="S53" s="28">
        <v>974.85</v>
      </c>
      <c r="T53" s="28" t="s">
        <v>22</v>
      </c>
      <c r="U53" s="28">
        <v>-8.51</v>
      </c>
      <c r="V53" s="28">
        <v>930.4</v>
      </c>
      <c r="W53" s="28">
        <v>12.67</v>
      </c>
      <c r="X53" s="28">
        <v>64</v>
      </c>
      <c r="Y53" s="28">
        <v>6</v>
      </c>
      <c r="Z53" s="28">
        <v>40</v>
      </c>
      <c r="AA53" s="28">
        <v>-0.36099999999999999</v>
      </c>
      <c r="AB53" s="28">
        <v>0.6</v>
      </c>
      <c r="AC53" s="28">
        <v>6.41</v>
      </c>
      <c r="AD53" s="28">
        <v>1E-4</v>
      </c>
      <c r="AE53" s="28">
        <v>-0.99</v>
      </c>
    </row>
    <row r="54" spans="1:31" x14ac:dyDescent="0.25">
      <c r="A54" s="28">
        <v>0.01</v>
      </c>
      <c r="B54" s="28">
        <v>0</v>
      </c>
      <c r="C54" s="28">
        <v>6.42</v>
      </c>
      <c r="D54" s="28">
        <v>0.57999999999999996</v>
      </c>
      <c r="E54" s="28">
        <v>2E-3</v>
      </c>
      <c r="F54" s="28">
        <v>4793</v>
      </c>
      <c r="G54" s="28">
        <v>952</v>
      </c>
      <c r="H54" s="28">
        <v>68298</v>
      </c>
      <c r="I54" s="28">
        <v>13.25</v>
      </c>
      <c r="J54" s="28">
        <v>0.9</v>
      </c>
      <c r="K54" s="28">
        <v>-25</v>
      </c>
      <c r="L54" s="28" t="s">
        <v>22</v>
      </c>
      <c r="M54" s="28">
        <v>0.85</v>
      </c>
      <c r="N54" s="28">
        <v>0.9</v>
      </c>
      <c r="O54" s="28" t="s">
        <v>22</v>
      </c>
      <c r="P54" s="29">
        <v>26450</v>
      </c>
      <c r="Q54" s="28" t="s">
        <v>22</v>
      </c>
      <c r="R54" s="28">
        <v>924.75</v>
      </c>
      <c r="S54" s="28">
        <v>1028.3</v>
      </c>
      <c r="T54" s="28" t="s">
        <v>22</v>
      </c>
      <c r="U54" s="28">
        <v>0</v>
      </c>
      <c r="V54" s="28">
        <v>1065.25</v>
      </c>
      <c r="W54" s="28">
        <v>13.25</v>
      </c>
      <c r="X54" s="28">
        <v>0</v>
      </c>
      <c r="Y54" s="28">
        <v>0</v>
      </c>
      <c r="Z54" s="28">
        <v>6</v>
      </c>
      <c r="AA54" s="28">
        <v>-0.309</v>
      </c>
      <c r="AB54" s="28">
        <v>0.57999999999999996</v>
      </c>
      <c r="AC54" s="28">
        <v>6.42</v>
      </c>
      <c r="AD54" s="28">
        <v>0</v>
      </c>
      <c r="AE54" s="28">
        <v>-0.99</v>
      </c>
    </row>
    <row r="55" spans="1:31" x14ac:dyDescent="0.25">
      <c r="A55" s="28">
        <v>0.01</v>
      </c>
      <c r="B55" s="28">
        <v>0</v>
      </c>
      <c r="C55" s="28">
        <v>6.43</v>
      </c>
      <c r="D55" s="28">
        <v>0.56000000000000005</v>
      </c>
      <c r="E55" s="28">
        <v>2E-3</v>
      </c>
      <c r="F55" s="28">
        <v>87412</v>
      </c>
      <c r="G55" s="28">
        <v>9377</v>
      </c>
      <c r="H55" s="28">
        <v>505809</v>
      </c>
      <c r="I55" s="28">
        <v>13.82</v>
      </c>
      <c r="J55" s="28">
        <v>0.9</v>
      </c>
      <c r="K55" s="28">
        <v>-18.18</v>
      </c>
      <c r="L55" s="28" t="s">
        <v>22</v>
      </c>
      <c r="M55" s="28">
        <v>0.85</v>
      </c>
      <c r="N55" s="28">
        <v>0.9</v>
      </c>
      <c r="O55" s="28" t="s">
        <v>22</v>
      </c>
      <c r="P55" s="29">
        <v>26500</v>
      </c>
      <c r="Q55" s="28" t="s">
        <v>22</v>
      </c>
      <c r="R55" s="28">
        <v>1026.5</v>
      </c>
      <c r="S55" s="28">
        <v>1035.8499999999999</v>
      </c>
      <c r="T55" s="28" t="s">
        <v>22</v>
      </c>
      <c r="U55" s="28">
        <v>-7.99</v>
      </c>
      <c r="V55" s="28">
        <v>1025.0999999999999</v>
      </c>
      <c r="W55" s="28">
        <v>13.82</v>
      </c>
      <c r="X55" s="28">
        <v>309</v>
      </c>
      <c r="Y55" s="28">
        <v>-11</v>
      </c>
      <c r="Z55" s="28">
        <v>201</v>
      </c>
      <c r="AA55" s="28">
        <v>-0.36299999999999999</v>
      </c>
      <c r="AB55" s="28">
        <v>0.56000000000000005</v>
      </c>
      <c r="AC55" s="28">
        <v>6.43</v>
      </c>
      <c r="AD55" s="28">
        <v>0</v>
      </c>
      <c r="AE55" s="28">
        <v>-0.99</v>
      </c>
    </row>
    <row r="56" spans="1:31" x14ac:dyDescent="0.25">
      <c r="A56" s="28">
        <v>0.01</v>
      </c>
      <c r="B56" s="28">
        <v>0</v>
      </c>
      <c r="C56" s="28">
        <v>6.55</v>
      </c>
      <c r="D56" s="28">
        <v>0.48</v>
      </c>
      <c r="E56" s="28">
        <v>2E-3</v>
      </c>
      <c r="F56" s="28">
        <v>16641</v>
      </c>
      <c r="G56" s="28">
        <v>752</v>
      </c>
      <c r="H56" s="28">
        <v>82969</v>
      </c>
      <c r="I56" s="28">
        <v>14.1</v>
      </c>
      <c r="J56" s="28">
        <v>0.75</v>
      </c>
      <c r="K56" s="28">
        <v>-16.670000000000002</v>
      </c>
      <c r="L56" s="28" t="s">
        <v>22</v>
      </c>
      <c r="M56" s="28">
        <v>0.7</v>
      </c>
      <c r="N56" s="28">
        <v>0.75</v>
      </c>
      <c r="O56" s="28" t="s">
        <v>22</v>
      </c>
      <c r="P56" s="29">
        <v>26550</v>
      </c>
      <c r="Q56" s="28" t="s">
        <v>22</v>
      </c>
      <c r="R56" s="28">
        <v>1024.5999999999999</v>
      </c>
      <c r="S56" s="28">
        <v>1128.05</v>
      </c>
      <c r="T56" s="28" t="s">
        <v>22</v>
      </c>
      <c r="U56" s="28">
        <v>0</v>
      </c>
      <c r="V56" s="28">
        <v>1690.05</v>
      </c>
      <c r="W56" s="28">
        <v>14.1</v>
      </c>
      <c r="X56" s="28">
        <v>0</v>
      </c>
      <c r="Y56" s="28">
        <v>0</v>
      </c>
      <c r="Z56" s="28">
        <v>5</v>
      </c>
      <c r="AA56" s="28">
        <v>-0.246</v>
      </c>
      <c r="AB56" s="28">
        <v>0.48</v>
      </c>
      <c r="AC56" s="28">
        <v>6.55</v>
      </c>
      <c r="AD56" s="28">
        <v>0</v>
      </c>
      <c r="AE56" s="28">
        <v>-0.99</v>
      </c>
    </row>
    <row r="57" spans="1:31" x14ac:dyDescent="0.25">
      <c r="A57" s="28">
        <v>0</v>
      </c>
      <c r="B57" s="28">
        <v>0</v>
      </c>
      <c r="C57" s="28">
        <v>6.64</v>
      </c>
      <c r="D57" s="28">
        <v>0.42</v>
      </c>
      <c r="E57" s="28">
        <v>2E-3</v>
      </c>
      <c r="F57" s="28">
        <v>34100</v>
      </c>
      <c r="G57" s="28">
        <v>4969</v>
      </c>
      <c r="H57" s="28">
        <v>207269</v>
      </c>
      <c r="I57" s="28">
        <v>14.43</v>
      </c>
      <c r="J57" s="28">
        <v>0.65</v>
      </c>
      <c r="K57" s="28">
        <v>-23.53</v>
      </c>
      <c r="L57" s="28" t="s">
        <v>22</v>
      </c>
      <c r="M57" s="28">
        <v>0.65</v>
      </c>
      <c r="N57" s="28">
        <v>0.7</v>
      </c>
      <c r="O57" s="28" t="s">
        <v>22</v>
      </c>
      <c r="P57" s="29">
        <v>26600</v>
      </c>
      <c r="Q57" s="28" t="s">
        <v>22</v>
      </c>
      <c r="R57" s="28">
        <v>1072.7</v>
      </c>
      <c r="S57" s="28">
        <v>1180.5999999999999</v>
      </c>
      <c r="T57" s="28" t="s">
        <v>22</v>
      </c>
      <c r="U57" s="28">
        <v>-7</v>
      </c>
      <c r="V57" s="28">
        <v>1129.75</v>
      </c>
      <c r="W57" s="28">
        <v>14.43</v>
      </c>
      <c r="X57" s="28">
        <v>3</v>
      </c>
      <c r="Y57" s="28">
        <v>1</v>
      </c>
      <c r="Z57" s="28">
        <v>5</v>
      </c>
      <c r="AA57" s="28">
        <v>-0.36399999999999999</v>
      </c>
      <c r="AB57" s="28">
        <v>0.42</v>
      </c>
      <c r="AC57" s="28">
        <v>6.64</v>
      </c>
      <c r="AD57" s="28">
        <v>0</v>
      </c>
      <c r="AE57" s="28">
        <v>-1</v>
      </c>
    </row>
    <row r="58" spans="1:31" x14ac:dyDescent="0.25">
      <c r="A58" s="28">
        <v>0</v>
      </c>
      <c r="B58" s="28">
        <v>0</v>
      </c>
      <c r="C58" s="28">
        <v>6.61</v>
      </c>
      <c r="D58" s="28">
        <v>0.43</v>
      </c>
      <c r="E58" s="28">
        <v>2E-3</v>
      </c>
      <c r="F58" s="28">
        <v>9542</v>
      </c>
      <c r="G58" s="28">
        <v>1426</v>
      </c>
      <c r="H58" s="28">
        <v>47078</v>
      </c>
      <c r="I58" s="28">
        <v>15.1</v>
      </c>
      <c r="J58" s="28">
        <v>0.7</v>
      </c>
      <c r="K58" s="28">
        <v>-12.5</v>
      </c>
      <c r="L58" s="28" t="s">
        <v>22</v>
      </c>
      <c r="M58" s="28">
        <v>0.65</v>
      </c>
      <c r="N58" s="28">
        <v>0.7</v>
      </c>
      <c r="O58" s="28" t="s">
        <v>22</v>
      </c>
      <c r="P58" s="29">
        <v>26650</v>
      </c>
      <c r="Q58" s="28" t="s">
        <v>22</v>
      </c>
      <c r="R58" s="28">
        <v>1127.5</v>
      </c>
      <c r="S58" s="28">
        <v>1286.8499999999999</v>
      </c>
      <c r="T58" s="28" t="s">
        <v>22</v>
      </c>
      <c r="U58" s="28">
        <v>0</v>
      </c>
      <c r="V58" s="28">
        <v>1279.5999999999999</v>
      </c>
      <c r="W58" s="28">
        <v>15.1</v>
      </c>
      <c r="X58" s="28">
        <v>0</v>
      </c>
      <c r="Y58" s="28">
        <v>0</v>
      </c>
      <c r="Z58" s="28">
        <v>6</v>
      </c>
      <c r="AA58" s="28">
        <v>-0.312</v>
      </c>
      <c r="AB58" s="28">
        <v>0.43</v>
      </c>
      <c r="AC58" s="28">
        <v>6.61</v>
      </c>
      <c r="AD58" s="28">
        <v>0</v>
      </c>
      <c r="AE58" s="28">
        <v>-1</v>
      </c>
    </row>
    <row r="59" spans="1:31" x14ac:dyDescent="0.25">
      <c r="A59" s="28">
        <v>0</v>
      </c>
      <c r="B59" s="28">
        <v>0</v>
      </c>
      <c r="C59" s="28">
        <v>6.71</v>
      </c>
      <c r="D59" s="28">
        <v>0.37</v>
      </c>
      <c r="E59" s="28">
        <v>1E-3</v>
      </c>
      <c r="F59" s="28">
        <v>27949</v>
      </c>
      <c r="G59" s="28">
        <v>-75</v>
      </c>
      <c r="H59" s="28">
        <v>75186</v>
      </c>
      <c r="I59" s="28">
        <v>15.4</v>
      </c>
      <c r="J59" s="28">
        <v>0.6</v>
      </c>
      <c r="K59" s="28">
        <v>-20</v>
      </c>
      <c r="L59" s="28" t="s">
        <v>22</v>
      </c>
      <c r="M59" s="28">
        <v>0.6</v>
      </c>
      <c r="N59" s="28">
        <v>0.65</v>
      </c>
      <c r="O59" s="28" t="s">
        <v>22</v>
      </c>
      <c r="P59" s="29">
        <v>26700</v>
      </c>
      <c r="Q59" s="28" t="s">
        <v>22</v>
      </c>
      <c r="R59" s="28">
        <v>1176.3</v>
      </c>
      <c r="S59" s="28">
        <v>1272.1500000000001</v>
      </c>
      <c r="T59" s="28" t="s">
        <v>22</v>
      </c>
      <c r="U59" s="28">
        <v>0</v>
      </c>
      <c r="V59" s="28">
        <v>1641.7</v>
      </c>
      <c r="W59" s="28">
        <v>15.4</v>
      </c>
      <c r="X59" s="28">
        <v>0</v>
      </c>
      <c r="Y59" s="28">
        <v>0</v>
      </c>
      <c r="Z59" s="28">
        <v>5</v>
      </c>
      <c r="AA59" s="28">
        <v>-0.26500000000000001</v>
      </c>
      <c r="AB59" s="28">
        <v>0.37</v>
      </c>
      <c r="AC59" s="28">
        <v>6.71</v>
      </c>
      <c r="AD59" s="28">
        <v>0</v>
      </c>
      <c r="AE59" s="28">
        <v>-1</v>
      </c>
    </row>
    <row r="60" spans="1:31" x14ac:dyDescent="0.25">
      <c r="A60" s="28">
        <v>0</v>
      </c>
      <c r="B60" s="28">
        <v>0</v>
      </c>
      <c r="C60" s="28">
        <v>6.72</v>
      </c>
      <c r="D60" s="28">
        <v>0.36</v>
      </c>
      <c r="E60" s="28">
        <v>1E-3</v>
      </c>
      <c r="F60" s="28">
        <v>4773</v>
      </c>
      <c r="G60" s="28">
        <v>-186</v>
      </c>
      <c r="H60" s="28">
        <v>17780</v>
      </c>
      <c r="I60" s="28">
        <v>15.94</v>
      </c>
      <c r="J60" s="28">
        <v>0.6</v>
      </c>
      <c r="K60" s="28">
        <v>-20</v>
      </c>
      <c r="L60" s="28" t="s">
        <v>22</v>
      </c>
      <c r="M60" s="28">
        <v>0.6</v>
      </c>
      <c r="N60" s="28">
        <v>0.65</v>
      </c>
      <c r="O60" s="28" t="s">
        <v>22</v>
      </c>
      <c r="P60" s="29">
        <v>26750</v>
      </c>
      <c r="Q60" s="28" t="s">
        <v>22</v>
      </c>
      <c r="R60" s="28">
        <v>1222.8499999999999</v>
      </c>
      <c r="S60" s="28">
        <v>1329.55</v>
      </c>
      <c r="T60" s="28" t="s">
        <v>22</v>
      </c>
      <c r="U60" s="28">
        <v>0</v>
      </c>
      <c r="V60" s="28">
        <v>1381.1</v>
      </c>
      <c r="W60" s="28">
        <v>15.94</v>
      </c>
      <c r="X60" s="28">
        <v>0</v>
      </c>
      <c r="Y60" s="28">
        <v>0</v>
      </c>
      <c r="Z60" s="28">
        <v>6</v>
      </c>
      <c r="AA60" s="28">
        <v>-0.315</v>
      </c>
      <c r="AB60" s="28">
        <v>0.36</v>
      </c>
      <c r="AC60" s="28">
        <v>6.72</v>
      </c>
      <c r="AD60" s="28">
        <v>0</v>
      </c>
      <c r="AE60" s="28">
        <v>-1</v>
      </c>
    </row>
    <row r="61" spans="1:31" x14ac:dyDescent="0.25">
      <c r="A61" s="28">
        <v>0</v>
      </c>
      <c r="B61" s="28">
        <v>0</v>
      </c>
      <c r="C61" s="28">
        <v>6.77</v>
      </c>
      <c r="D61" s="28">
        <v>0.33</v>
      </c>
      <c r="E61" s="28">
        <v>1E-3</v>
      </c>
      <c r="F61" s="28">
        <v>40119</v>
      </c>
      <c r="G61" s="28">
        <v>-438</v>
      </c>
      <c r="H61" s="28">
        <v>100573</v>
      </c>
      <c r="I61" s="28">
        <v>16.329999999999998</v>
      </c>
      <c r="J61" s="28">
        <v>0.55000000000000004</v>
      </c>
      <c r="K61" s="28">
        <v>-21.43</v>
      </c>
      <c r="L61" s="28" t="s">
        <v>22</v>
      </c>
      <c r="M61" s="28">
        <v>0.55000000000000004</v>
      </c>
      <c r="N61" s="28">
        <v>0.6</v>
      </c>
      <c r="O61" s="28" t="s">
        <v>22</v>
      </c>
      <c r="P61" s="29">
        <v>26800</v>
      </c>
      <c r="Q61" s="28" t="s">
        <v>22</v>
      </c>
      <c r="R61" s="28">
        <v>1274.0999999999999</v>
      </c>
      <c r="S61" s="28">
        <v>1337.45</v>
      </c>
      <c r="T61" s="28" t="s">
        <v>22</v>
      </c>
      <c r="U61" s="28">
        <v>-6.39</v>
      </c>
      <c r="V61" s="28">
        <v>1324.35</v>
      </c>
      <c r="W61" s="28">
        <v>16.329999999999998</v>
      </c>
      <c r="X61" s="28">
        <v>16</v>
      </c>
      <c r="Y61" s="28">
        <v>-7</v>
      </c>
      <c r="Z61" s="28">
        <v>54</v>
      </c>
      <c r="AA61" s="28">
        <v>-0.36699999999999999</v>
      </c>
      <c r="AB61" s="28">
        <v>0.33</v>
      </c>
      <c r="AC61" s="28">
        <v>6.77</v>
      </c>
      <c r="AD61" s="28">
        <v>0</v>
      </c>
      <c r="AE61" s="28">
        <v>-1</v>
      </c>
    </row>
    <row r="62" spans="1:31" x14ac:dyDescent="0.25">
      <c r="A62" s="28">
        <v>0</v>
      </c>
      <c r="B62" s="28">
        <v>0</v>
      </c>
      <c r="C62" s="28">
        <v>6.74</v>
      </c>
      <c r="D62" s="28">
        <v>0.34</v>
      </c>
      <c r="E62" s="28">
        <v>1E-3</v>
      </c>
      <c r="F62" s="28">
        <v>11758</v>
      </c>
      <c r="G62" s="28">
        <v>1948</v>
      </c>
      <c r="H62" s="28">
        <v>52698</v>
      </c>
      <c r="I62" s="28">
        <v>17.010000000000002</v>
      </c>
      <c r="J62" s="28">
        <v>0.6</v>
      </c>
      <c r="K62" s="28">
        <v>-14.29</v>
      </c>
      <c r="L62" s="28" t="s">
        <v>22</v>
      </c>
      <c r="M62" s="28">
        <v>0.55000000000000004</v>
      </c>
      <c r="N62" s="28">
        <v>0.6</v>
      </c>
      <c r="O62" s="28" t="s">
        <v>22</v>
      </c>
      <c r="P62" s="29">
        <v>26850</v>
      </c>
      <c r="Q62" s="28" t="s">
        <v>22</v>
      </c>
      <c r="R62" s="28">
        <v>1322.15</v>
      </c>
      <c r="S62" s="28">
        <v>1504.05</v>
      </c>
      <c r="T62" s="28" t="s">
        <v>22</v>
      </c>
      <c r="U62" s="28">
        <v>-0.94</v>
      </c>
      <c r="V62" s="28">
        <v>1529.7</v>
      </c>
      <c r="W62" s="28">
        <v>17.010000000000002</v>
      </c>
      <c r="X62" s="28">
        <v>0</v>
      </c>
      <c r="Y62" s="28">
        <v>0</v>
      </c>
      <c r="Z62" s="28">
        <v>44</v>
      </c>
      <c r="AA62" s="28">
        <v>-0.30599999999999999</v>
      </c>
      <c r="AB62" s="28">
        <v>0.34</v>
      </c>
      <c r="AC62" s="28">
        <v>6.74</v>
      </c>
      <c r="AD62" s="28">
        <v>0</v>
      </c>
      <c r="AE62" s="28">
        <v>-1</v>
      </c>
    </row>
    <row r="63" spans="1:31" x14ac:dyDescent="0.25">
      <c r="A63" s="28">
        <v>0</v>
      </c>
      <c r="B63" s="28">
        <v>0</v>
      </c>
      <c r="C63" s="28">
        <v>6.75</v>
      </c>
      <c r="D63" s="28">
        <v>0.33</v>
      </c>
      <c r="E63" s="28">
        <v>1E-3</v>
      </c>
      <c r="F63" s="28">
        <v>2038</v>
      </c>
      <c r="G63" s="28">
        <v>7</v>
      </c>
      <c r="H63" s="28">
        <v>13489</v>
      </c>
      <c r="I63" s="28">
        <v>17.54</v>
      </c>
      <c r="J63" s="28">
        <v>0.6</v>
      </c>
      <c r="K63" s="28">
        <v>-14.29</v>
      </c>
      <c r="L63" s="28" t="s">
        <v>22</v>
      </c>
      <c r="M63" s="28">
        <v>0.55000000000000004</v>
      </c>
      <c r="N63" s="28">
        <v>0.6</v>
      </c>
      <c r="O63" s="28" t="s">
        <v>22</v>
      </c>
      <c r="P63" s="29">
        <v>26900</v>
      </c>
      <c r="Q63" s="28" t="s">
        <v>22</v>
      </c>
      <c r="R63" s="28">
        <v>1242.8</v>
      </c>
      <c r="S63" s="28">
        <v>1586.75</v>
      </c>
      <c r="T63" s="28" t="s">
        <v>22</v>
      </c>
      <c r="U63" s="28">
        <v>-10.220000000000001</v>
      </c>
      <c r="V63" s="28">
        <v>1543.7</v>
      </c>
      <c r="W63" s="28">
        <v>17.54</v>
      </c>
      <c r="X63" s="28">
        <v>0</v>
      </c>
      <c r="Y63" s="28">
        <v>0</v>
      </c>
      <c r="Z63" s="28">
        <v>0</v>
      </c>
      <c r="AA63" s="28">
        <v>-0.316</v>
      </c>
      <c r="AB63" s="28">
        <v>0.33</v>
      </c>
      <c r="AC63" s="28">
        <v>6.75</v>
      </c>
      <c r="AD63" s="28">
        <v>0</v>
      </c>
      <c r="AE63" s="28">
        <v>-1</v>
      </c>
    </row>
    <row r="64" spans="1:31" x14ac:dyDescent="0.25">
      <c r="A64" s="28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</row>
    <row r="65" spans="1:31" x14ac:dyDescent="0.25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</row>
    <row r="66" spans="1:31" x14ac:dyDescent="0.25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</row>
    <row r="67" spans="1:31" x14ac:dyDescent="0.25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  <c r="AD67" s="37"/>
      <c r="AE67" s="37"/>
    </row>
    <row r="68" spans="1:31" x14ac:dyDescent="0.25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</row>
    <row r="69" spans="1:31" x14ac:dyDescent="0.25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</row>
    <row r="70" spans="1:31" x14ac:dyDescent="0.25">
      <c r="A70" s="37"/>
      <c r="B70" s="37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</row>
    <row r="71" spans="1:31" x14ac:dyDescent="0.25">
      <c r="A71" s="37"/>
      <c r="B71" s="37"/>
      <c r="C71" s="37"/>
      <c r="D71" s="37"/>
      <c r="E71" s="37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  <c r="AE71" s="37"/>
    </row>
    <row r="72" spans="1:31" x14ac:dyDescent="0.25">
      <c r="A72" s="37"/>
      <c r="B72" s="37"/>
      <c r="C72" s="37"/>
      <c r="D72" s="37"/>
      <c r="E72" s="37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</row>
    <row r="73" spans="1:31" x14ac:dyDescent="0.25">
      <c r="A73" s="37"/>
      <c r="B73" s="37"/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</row>
    <row r="74" spans="1:31" x14ac:dyDescent="0.25">
      <c r="A74" s="37"/>
      <c r="B74" s="37"/>
      <c r="C74" s="37"/>
      <c r="D74" s="37"/>
      <c r="E74" s="37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</row>
    <row r="75" spans="1:31" x14ac:dyDescent="0.25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</row>
    <row r="76" spans="1:31" x14ac:dyDescent="0.25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</row>
    <row r="77" spans="1:31" x14ac:dyDescent="0.25">
      <c r="A77" s="37"/>
      <c r="B77" s="37"/>
      <c r="C77" s="37"/>
      <c r="D77" s="37"/>
      <c r="E77" s="37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</row>
    <row r="78" spans="1:31" x14ac:dyDescent="0.25">
      <c r="A78" s="37"/>
      <c r="B78" s="37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</row>
    <row r="79" spans="1:31" x14ac:dyDescent="0.25">
      <c r="A79" s="37"/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</row>
    <row r="80" spans="1:31" x14ac:dyDescent="0.25">
      <c r="A80" s="37"/>
      <c r="B80" s="37"/>
      <c r="C80" s="37"/>
      <c r="D80" s="37"/>
      <c r="E80" s="37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</row>
    <row r="81" spans="1:31" x14ac:dyDescent="0.25">
      <c r="A81" s="37"/>
      <c r="B81" s="37"/>
      <c r="C81" s="37"/>
      <c r="D81" s="37"/>
      <c r="E81" s="37"/>
      <c r="F81" s="37"/>
      <c r="G81" s="37"/>
      <c r="H81" s="37"/>
      <c r="I81" s="37"/>
      <c r="J81" s="37"/>
      <c r="K81" s="37"/>
      <c r="L81" s="37"/>
      <c r="M81" s="37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</row>
    <row r="82" spans="1:31" x14ac:dyDescent="0.25">
      <c r="A82" s="37"/>
      <c r="B82" s="37"/>
      <c r="C82" s="37"/>
      <c r="D82" s="37"/>
      <c r="E82" s="37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</row>
    <row r="83" spans="1:31" x14ac:dyDescent="0.25">
      <c r="A83" s="37"/>
      <c r="B83" s="37"/>
      <c r="C83" s="37"/>
      <c r="D83" s="37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</row>
    <row r="84" spans="1:31" x14ac:dyDescent="0.25">
      <c r="A84" s="37"/>
      <c r="B84" s="37"/>
      <c r="C84" s="37"/>
      <c r="D84" s="37"/>
      <c r="E84" s="37"/>
      <c r="F84" s="37"/>
      <c r="G84" s="37"/>
      <c r="H84" s="37"/>
      <c r="I84" s="37"/>
      <c r="J84" s="37"/>
      <c r="K84" s="37"/>
      <c r="L84" s="37"/>
      <c r="M84" s="37"/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  <c r="AC84" s="37"/>
      <c r="AD84" s="37"/>
      <c r="AE84" s="37"/>
    </row>
    <row r="85" spans="1:31" x14ac:dyDescent="0.25">
      <c r="A85" s="37"/>
      <c r="B85" s="37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  <c r="AC85" s="37"/>
      <c r="AD85" s="37"/>
      <c r="AE85" s="37"/>
    </row>
    <row r="86" spans="1:31" x14ac:dyDescent="0.25">
      <c r="A86" s="37"/>
      <c r="B86" s="37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  <c r="AC86" s="37"/>
      <c r="AD86" s="37"/>
      <c r="AE86" s="37"/>
    </row>
    <row r="87" spans="1:31" x14ac:dyDescent="0.25">
      <c r="A87" s="37"/>
      <c r="B87" s="37"/>
      <c r="C87" s="37"/>
      <c r="D87" s="37"/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  <c r="AD87" s="37"/>
      <c r="AE87" s="37"/>
    </row>
    <row r="88" spans="1:31" x14ac:dyDescent="0.25">
      <c r="A88" s="37"/>
      <c r="B88" s="37"/>
      <c r="C88" s="37"/>
      <c r="D88" s="37"/>
      <c r="E88" s="37"/>
      <c r="F88" s="37"/>
      <c r="G88" s="37"/>
      <c r="H88" s="37"/>
      <c r="I88" s="37"/>
      <c r="J88" s="37"/>
      <c r="K88" s="37"/>
      <c r="L88" s="37"/>
      <c r="M88" s="37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  <c r="AC88" s="37"/>
      <c r="AD88" s="37"/>
      <c r="AE88" s="37"/>
    </row>
    <row r="89" spans="1:31" x14ac:dyDescent="0.25">
      <c r="A89" s="37"/>
      <c r="B89" s="37"/>
      <c r="C89" s="37"/>
      <c r="D89" s="37"/>
      <c r="E89" s="37"/>
      <c r="F89" s="37"/>
      <c r="G89" s="37"/>
      <c r="H89" s="37"/>
      <c r="I89" s="37"/>
      <c r="J89" s="37"/>
      <c r="K89" s="37"/>
      <c r="L89" s="37"/>
      <c r="M89" s="37"/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  <c r="AC89" s="37"/>
      <c r="AD89" s="37"/>
      <c r="AE89" s="37"/>
    </row>
    <row r="90" spans="1:31" x14ac:dyDescent="0.25">
      <c r="A90" s="37"/>
      <c r="B90" s="37"/>
      <c r="C90" s="37"/>
      <c r="D90" s="37"/>
      <c r="E90" s="37"/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  <c r="AC90" s="37"/>
      <c r="AD90" s="37"/>
      <c r="AE90" s="37"/>
    </row>
    <row r="91" spans="1:31" x14ac:dyDescent="0.25">
      <c r="A91" s="37"/>
      <c r="B91" s="37"/>
      <c r="C91" s="37"/>
      <c r="D91" s="37"/>
      <c r="E91" s="37"/>
      <c r="F91" s="37"/>
      <c r="G91" s="37"/>
      <c r="H91" s="37"/>
      <c r="I91" s="37"/>
      <c r="J91" s="37"/>
      <c r="K91" s="37"/>
      <c r="L91" s="37"/>
      <c r="M91" s="37"/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  <c r="AC91" s="37"/>
      <c r="AD91" s="37"/>
      <c r="AE91" s="37"/>
    </row>
    <row r="92" spans="1:31" x14ac:dyDescent="0.25">
      <c r="A92" s="37"/>
      <c r="B92" s="37"/>
      <c r="C92" s="37"/>
      <c r="D92" s="37"/>
      <c r="E92" s="37"/>
      <c r="F92" s="37"/>
      <c r="G92" s="37"/>
      <c r="H92" s="37"/>
      <c r="I92" s="37"/>
      <c r="J92" s="37"/>
      <c r="K92" s="37"/>
      <c r="L92" s="37"/>
      <c r="M92" s="37"/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  <c r="AC92" s="37"/>
      <c r="AD92" s="37"/>
      <c r="AE92" s="37"/>
    </row>
    <row r="93" spans="1:31" x14ac:dyDescent="0.25">
      <c r="A93" s="37"/>
      <c r="B93" s="37"/>
      <c r="C93" s="37"/>
      <c r="D93" s="37"/>
      <c r="E93" s="37"/>
      <c r="F93" s="37"/>
      <c r="G93" s="37"/>
      <c r="H93" s="37"/>
      <c r="I93" s="37"/>
      <c r="J93" s="37"/>
      <c r="K93" s="37"/>
      <c r="L93" s="37"/>
      <c r="M93" s="37"/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  <c r="AC93" s="37"/>
      <c r="AD93" s="37"/>
      <c r="AE93" s="37"/>
    </row>
    <row r="94" spans="1:31" x14ac:dyDescent="0.25">
      <c r="A94" s="37"/>
      <c r="B94" s="37"/>
      <c r="C94" s="37"/>
      <c r="D94" s="37"/>
      <c r="E94" s="37"/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  <c r="AC94" s="37"/>
      <c r="AD94" s="37"/>
      <c r="AE94" s="37"/>
    </row>
    <row r="95" spans="1:31" x14ac:dyDescent="0.25">
      <c r="A95" s="37"/>
      <c r="B95" s="37"/>
      <c r="C95" s="37"/>
      <c r="D95" s="37"/>
      <c r="E95" s="37"/>
      <c r="F95" s="37"/>
      <c r="G95" s="37"/>
      <c r="H95" s="37"/>
      <c r="I95" s="37"/>
      <c r="J95" s="37"/>
      <c r="K95" s="37"/>
      <c r="L95" s="37"/>
      <c r="M95" s="37"/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  <c r="AC95" s="37"/>
      <c r="AD95" s="37"/>
      <c r="AE95" s="37"/>
    </row>
    <row r="96" spans="1:31" x14ac:dyDescent="0.25">
      <c r="A96" s="37"/>
      <c r="B96" s="37"/>
      <c r="C96" s="37"/>
      <c r="D96" s="37"/>
      <c r="E96" s="37"/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  <c r="AC96" s="37"/>
      <c r="AD96" s="37"/>
      <c r="AE96" s="37"/>
    </row>
    <row r="97" spans="1:31" x14ac:dyDescent="0.25">
      <c r="A97" s="37"/>
      <c r="B97" s="37"/>
      <c r="C97" s="37"/>
      <c r="D97" s="37"/>
      <c r="E97" s="37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  <c r="AC97" s="37"/>
      <c r="AD97" s="37"/>
      <c r="AE97" s="37"/>
    </row>
    <row r="98" spans="1:31" x14ac:dyDescent="0.25">
      <c r="A98" s="37"/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  <c r="AC98" s="37"/>
      <c r="AD98" s="37"/>
      <c r="AE98" s="37"/>
    </row>
    <row r="99" spans="1:31" x14ac:dyDescent="0.25">
      <c r="A99" s="37"/>
      <c r="B99" s="37"/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  <c r="AC99" s="37"/>
      <c r="AD99" s="37"/>
      <c r="AE99" s="37"/>
    </row>
    <row r="100" spans="1:31" x14ac:dyDescent="0.25">
      <c r="A100" s="37"/>
      <c r="B100" s="37"/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  <c r="AC100" s="37"/>
      <c r="AD100" s="37"/>
      <c r="AE100" s="37"/>
    </row>
    <row r="101" spans="1:31" x14ac:dyDescent="0.25">
      <c r="A101" s="37"/>
      <c r="B101" s="37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7"/>
      <c r="AC101" s="37"/>
      <c r="AD101" s="37"/>
      <c r="AE101" s="37"/>
    </row>
    <row r="102" spans="1:31" x14ac:dyDescent="0.25">
      <c r="A102" s="37"/>
      <c r="B102" s="37"/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  <c r="AB102" s="37"/>
      <c r="AC102" s="37"/>
      <c r="AD102" s="37"/>
      <c r="AE102" s="37"/>
    </row>
    <row r="103" spans="1:31" x14ac:dyDescent="0.25">
      <c r="A103" s="37"/>
      <c r="B103" s="37"/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  <c r="AB103" s="37"/>
      <c r="AC103" s="37"/>
      <c r="AD103" s="37"/>
      <c r="AE103" s="37"/>
    </row>
    <row r="104" spans="1:31" x14ac:dyDescent="0.25">
      <c r="A104" s="37"/>
      <c r="B104" s="37"/>
      <c r="C104" s="37"/>
      <c r="D104" s="37"/>
      <c r="E104" s="37"/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  <c r="AA104" s="37"/>
      <c r="AB104" s="37"/>
      <c r="AC104" s="37"/>
      <c r="AD104" s="37"/>
      <c r="AE104" s="37"/>
    </row>
    <row r="105" spans="1:31" x14ac:dyDescent="0.25">
      <c r="A105" s="37"/>
      <c r="B105" s="37"/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  <c r="AA105" s="37"/>
      <c r="AB105" s="37"/>
      <c r="AC105" s="37"/>
      <c r="AD105" s="37"/>
      <c r="AE105" s="37"/>
    </row>
    <row r="106" spans="1:31" x14ac:dyDescent="0.25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</row>
    <row r="107" spans="1:31" x14ac:dyDescent="0.25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</row>
    <row r="108" spans="1:31" x14ac:dyDescent="0.25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</row>
    <row r="109" spans="1:31" x14ac:dyDescent="0.25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</row>
    <row r="110" spans="1:31" x14ac:dyDescent="0.25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</row>
    <row r="111" spans="1:31" x14ac:dyDescent="0.25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</row>
    <row r="112" spans="1:31" x14ac:dyDescent="0.25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</row>
    <row r="113" spans="1:31" x14ac:dyDescent="0.25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</row>
    <row r="114" spans="1:31" x14ac:dyDescent="0.25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</row>
    <row r="115" spans="1:31" x14ac:dyDescent="0.25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</row>
    <row r="116" spans="1:31" x14ac:dyDescent="0.25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</row>
    <row r="117" spans="1:31" x14ac:dyDescent="0.25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</row>
    <row r="118" spans="1:31" x14ac:dyDescent="0.25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</row>
    <row r="119" spans="1:31" x14ac:dyDescent="0.25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</row>
    <row r="120" spans="1:31" x14ac:dyDescent="0.25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</row>
    <row r="121" spans="1:31" x14ac:dyDescent="0.25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</row>
    <row r="122" spans="1:31" x14ac:dyDescent="0.25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</row>
    <row r="123" spans="1:31" x14ac:dyDescent="0.25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</row>
    <row r="124" spans="1:31" x14ac:dyDescent="0.25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</row>
    <row r="125" spans="1:31" x14ac:dyDescent="0.25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</row>
    <row r="126" spans="1:31" x14ac:dyDescent="0.25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</row>
    <row r="127" spans="1:31" x14ac:dyDescent="0.25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</row>
    <row r="128" spans="1:31" x14ac:dyDescent="0.25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</row>
    <row r="129" spans="1:31" x14ac:dyDescent="0.25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</row>
    <row r="130" spans="1:31" x14ac:dyDescent="0.25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</row>
    <row r="131" spans="1:31" x14ac:dyDescent="0.25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</row>
    <row r="132" spans="1:31" x14ac:dyDescent="0.25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</row>
    <row r="133" spans="1:31" x14ac:dyDescent="0.25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</row>
    <row r="134" spans="1:31" x14ac:dyDescent="0.25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</row>
    <row r="135" spans="1:31" x14ac:dyDescent="0.25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</row>
    <row r="136" spans="1:31" x14ac:dyDescent="0.25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</row>
    <row r="137" spans="1:31" x14ac:dyDescent="0.25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</row>
    <row r="138" spans="1:31" x14ac:dyDescent="0.25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</row>
    <row r="139" spans="1:31" x14ac:dyDescent="0.25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</row>
    <row r="140" spans="1:31" x14ac:dyDescent="0.25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</row>
    <row r="141" spans="1:31" x14ac:dyDescent="0.25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</row>
    <row r="142" spans="1:31" x14ac:dyDescent="0.25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</row>
    <row r="143" spans="1:31" x14ac:dyDescent="0.25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</row>
    <row r="144" spans="1:31" x14ac:dyDescent="0.25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</row>
    <row r="145" spans="1:31" x14ac:dyDescent="0.25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</row>
    <row r="146" spans="1:31" x14ac:dyDescent="0.25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</row>
    <row r="147" spans="1:31" x14ac:dyDescent="0.25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</row>
    <row r="148" spans="1:31" x14ac:dyDescent="0.25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</row>
    <row r="149" spans="1:31" x14ac:dyDescent="0.25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</row>
    <row r="150" spans="1:31" x14ac:dyDescent="0.25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</row>
    <row r="151" spans="1:31" x14ac:dyDescent="0.25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</row>
    <row r="152" spans="1:31" x14ac:dyDescent="0.25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</row>
    <row r="153" spans="1:31" x14ac:dyDescent="0.25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</row>
    <row r="154" spans="1:31" x14ac:dyDescent="0.25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</row>
    <row r="155" spans="1:31" x14ac:dyDescent="0.25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</row>
    <row r="156" spans="1:31" x14ac:dyDescent="0.25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</row>
    <row r="157" spans="1:31" x14ac:dyDescent="0.25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</row>
    <row r="158" spans="1:31" x14ac:dyDescent="0.25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</row>
    <row r="159" spans="1:31" x14ac:dyDescent="0.25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</row>
    <row r="160" spans="1:31" x14ac:dyDescent="0.25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</row>
    <row r="161" spans="1:31" x14ac:dyDescent="0.25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</row>
    <row r="162" spans="1:31" x14ac:dyDescent="0.25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</row>
    <row r="163" spans="1:31" x14ac:dyDescent="0.25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</row>
    <row r="164" spans="1:31" x14ac:dyDescent="0.25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</row>
    <row r="165" spans="1:31" x14ac:dyDescent="0.25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</row>
    <row r="166" spans="1:31" x14ac:dyDescent="0.25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</row>
    <row r="167" spans="1:31" x14ac:dyDescent="0.25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</row>
    <row r="168" spans="1:31" x14ac:dyDescent="0.25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</row>
    <row r="169" spans="1:31" x14ac:dyDescent="0.25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</row>
    <row r="170" spans="1:31" x14ac:dyDescent="0.25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</row>
    <row r="171" spans="1:31" x14ac:dyDescent="0.25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</row>
    <row r="172" spans="1:31" x14ac:dyDescent="0.25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</row>
    <row r="173" spans="1:31" x14ac:dyDescent="0.25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</row>
    <row r="174" spans="1:31" x14ac:dyDescent="0.25">
      <c r="A174" s="37"/>
      <c r="B174" s="37"/>
      <c r="C174" s="37"/>
      <c r="D174" s="37"/>
      <c r="E174" s="37"/>
      <c r="F174" s="37"/>
      <c r="G174" s="37"/>
      <c r="H174" s="37"/>
      <c r="I174" s="37"/>
      <c r="J174" s="37"/>
      <c r="K174" s="37"/>
      <c r="L174" s="37"/>
      <c r="M174" s="37"/>
      <c r="N174" s="37"/>
      <c r="O174" s="37"/>
      <c r="P174" s="37"/>
      <c r="Q174" s="37"/>
      <c r="R174" s="37"/>
      <c r="S174" s="37"/>
      <c r="T174" s="37"/>
      <c r="U174" s="37"/>
      <c r="V174" s="37"/>
      <c r="W174" s="37"/>
      <c r="X174" s="37"/>
      <c r="Y174" s="37"/>
      <c r="Z174" s="37"/>
      <c r="AA174" s="37"/>
      <c r="AB174" s="37"/>
      <c r="AC174" s="37"/>
      <c r="AD174" s="37"/>
      <c r="AE174" s="37"/>
    </row>
    <row r="175" spans="1:31" x14ac:dyDescent="0.25">
      <c r="A175" s="37"/>
      <c r="B175" s="37"/>
      <c r="C175" s="37"/>
      <c r="D175" s="37"/>
      <c r="E175" s="37"/>
      <c r="F175" s="37"/>
      <c r="G175" s="37"/>
      <c r="H175" s="37"/>
      <c r="I175" s="37"/>
      <c r="J175" s="37"/>
      <c r="K175" s="37"/>
      <c r="L175" s="37"/>
      <c r="M175" s="37"/>
      <c r="N175" s="37"/>
      <c r="O175" s="37"/>
      <c r="P175" s="37"/>
      <c r="Q175" s="37"/>
      <c r="R175" s="37"/>
      <c r="S175" s="37"/>
      <c r="T175" s="37"/>
      <c r="U175" s="37"/>
      <c r="V175" s="37"/>
      <c r="W175" s="37"/>
      <c r="X175" s="37"/>
      <c r="Y175" s="37"/>
      <c r="Z175" s="37"/>
      <c r="AA175" s="37"/>
      <c r="AB175" s="37"/>
      <c r="AC175" s="37"/>
      <c r="AD175" s="37"/>
      <c r="AE175" s="37"/>
    </row>
    <row r="176" spans="1:31" x14ac:dyDescent="0.25">
      <c r="A176" s="37"/>
      <c r="B176" s="37"/>
      <c r="C176" s="37"/>
      <c r="D176" s="37"/>
      <c r="E176" s="37"/>
      <c r="F176" s="37"/>
      <c r="G176" s="37"/>
      <c r="H176" s="37"/>
      <c r="I176" s="37"/>
      <c r="J176" s="37"/>
      <c r="K176" s="37"/>
      <c r="L176" s="37"/>
      <c r="M176" s="37"/>
      <c r="N176" s="37"/>
      <c r="O176" s="37"/>
      <c r="P176" s="37"/>
      <c r="Q176" s="37"/>
      <c r="R176" s="37"/>
      <c r="S176" s="37"/>
      <c r="T176" s="37"/>
      <c r="U176" s="37"/>
      <c r="V176" s="37"/>
      <c r="W176" s="37"/>
      <c r="X176" s="37"/>
      <c r="Y176" s="37"/>
      <c r="Z176" s="37"/>
      <c r="AA176" s="37"/>
      <c r="AB176" s="37"/>
      <c r="AC176" s="37"/>
      <c r="AD176" s="37"/>
      <c r="AE176" s="37"/>
    </row>
    <row r="177" spans="1:31" x14ac:dyDescent="0.25">
      <c r="A177" s="37"/>
      <c r="B177" s="37"/>
      <c r="C177" s="37"/>
      <c r="D177" s="37"/>
      <c r="E177" s="37"/>
      <c r="F177" s="37"/>
      <c r="G177" s="37"/>
      <c r="H177" s="37"/>
      <c r="I177" s="37"/>
      <c r="J177" s="37"/>
      <c r="K177" s="37"/>
      <c r="L177" s="37"/>
      <c r="M177" s="37"/>
      <c r="N177" s="37"/>
      <c r="O177" s="37"/>
      <c r="P177" s="37"/>
      <c r="Q177" s="37"/>
      <c r="R177" s="37"/>
      <c r="S177" s="37"/>
      <c r="T177" s="37"/>
      <c r="U177" s="37"/>
      <c r="V177" s="37"/>
      <c r="W177" s="37"/>
      <c r="X177" s="37"/>
      <c r="Y177" s="37"/>
      <c r="Z177" s="37"/>
      <c r="AA177" s="37"/>
      <c r="AB177" s="37"/>
      <c r="AC177" s="37"/>
      <c r="AD177" s="37"/>
      <c r="AE177" s="37"/>
    </row>
    <row r="178" spans="1:31" x14ac:dyDescent="0.25">
      <c r="A178" s="37"/>
      <c r="B178" s="37"/>
      <c r="C178" s="37"/>
      <c r="D178" s="37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</row>
    <row r="179" spans="1:31" x14ac:dyDescent="0.25">
      <c r="A179" s="37"/>
      <c r="B179" s="37"/>
      <c r="C179" s="37"/>
      <c r="D179" s="37"/>
      <c r="E179" s="37"/>
      <c r="F179" s="37"/>
      <c r="G179" s="37"/>
      <c r="H179" s="37"/>
      <c r="I179" s="37"/>
      <c r="J179" s="37"/>
      <c r="K179" s="37"/>
      <c r="L179" s="37"/>
      <c r="M179" s="37"/>
      <c r="N179" s="37"/>
      <c r="O179" s="37"/>
      <c r="P179" s="37"/>
      <c r="Q179" s="37"/>
      <c r="R179" s="37"/>
      <c r="S179" s="37"/>
      <c r="T179" s="37"/>
      <c r="U179" s="37"/>
      <c r="V179" s="37"/>
      <c r="W179" s="37"/>
      <c r="X179" s="37"/>
      <c r="Y179" s="37"/>
      <c r="Z179" s="37"/>
      <c r="AA179" s="37"/>
      <c r="AB179" s="37"/>
      <c r="AC179" s="37"/>
      <c r="AD179" s="37"/>
      <c r="AE179" s="37"/>
    </row>
    <row r="180" spans="1:31" x14ac:dyDescent="0.25">
      <c r="A180" s="37"/>
      <c r="B180" s="37"/>
      <c r="C180" s="37"/>
      <c r="D180" s="37"/>
      <c r="E180" s="37"/>
      <c r="F180" s="37"/>
      <c r="G180" s="37"/>
      <c r="H180" s="37"/>
      <c r="I180" s="37"/>
      <c r="J180" s="37"/>
      <c r="K180" s="37"/>
      <c r="L180" s="37"/>
      <c r="M180" s="37"/>
      <c r="N180" s="37"/>
      <c r="O180" s="37"/>
      <c r="P180" s="37"/>
      <c r="Q180" s="37"/>
      <c r="R180" s="37"/>
      <c r="S180" s="37"/>
      <c r="T180" s="37"/>
      <c r="U180" s="37"/>
      <c r="V180" s="37"/>
      <c r="W180" s="37"/>
      <c r="X180" s="37"/>
      <c r="Y180" s="37"/>
      <c r="Z180" s="37"/>
      <c r="AA180" s="37"/>
      <c r="AB180" s="37"/>
      <c r="AC180" s="37"/>
      <c r="AD180" s="37"/>
      <c r="AE180" s="37"/>
    </row>
    <row r="181" spans="1:31" x14ac:dyDescent="0.25">
      <c r="A181" s="37"/>
      <c r="B181" s="37"/>
      <c r="C181" s="37"/>
      <c r="D181" s="37"/>
      <c r="E181" s="37"/>
      <c r="F181" s="37"/>
      <c r="G181" s="37"/>
      <c r="H181" s="37"/>
      <c r="I181" s="37"/>
      <c r="J181" s="37"/>
      <c r="K181" s="37"/>
      <c r="L181" s="37"/>
      <c r="M181" s="37"/>
      <c r="N181" s="37"/>
      <c r="O181" s="37"/>
      <c r="P181" s="37"/>
      <c r="Q181" s="37"/>
      <c r="R181" s="37"/>
      <c r="S181" s="37"/>
      <c r="T181" s="37"/>
      <c r="U181" s="37"/>
      <c r="V181" s="37"/>
      <c r="W181" s="37"/>
      <c r="X181" s="37"/>
      <c r="Y181" s="37"/>
      <c r="Z181" s="37"/>
      <c r="AA181" s="37"/>
      <c r="AB181" s="37"/>
      <c r="AC181" s="37"/>
      <c r="AD181" s="37"/>
      <c r="AE181" s="37"/>
    </row>
    <row r="182" spans="1:31" x14ac:dyDescent="0.25">
      <c r="A182" s="37"/>
      <c r="B182" s="37"/>
      <c r="C182" s="37"/>
      <c r="D182" s="37"/>
      <c r="E182" s="37"/>
      <c r="F182" s="37"/>
      <c r="G182" s="37"/>
      <c r="H182" s="37"/>
      <c r="I182" s="37"/>
      <c r="J182" s="37"/>
      <c r="K182" s="37"/>
      <c r="L182" s="37"/>
      <c r="M182" s="37"/>
      <c r="N182" s="37"/>
      <c r="O182" s="37"/>
      <c r="P182" s="37"/>
      <c r="Q182" s="37"/>
      <c r="R182" s="37"/>
      <c r="S182" s="37"/>
      <c r="T182" s="37"/>
      <c r="U182" s="37"/>
      <c r="V182" s="37"/>
      <c r="W182" s="37"/>
      <c r="X182" s="37"/>
      <c r="Y182" s="37"/>
      <c r="Z182" s="37"/>
      <c r="AA182" s="37"/>
      <c r="AB182" s="37"/>
      <c r="AC182" s="37"/>
      <c r="AD182" s="37"/>
      <c r="AE182" s="37"/>
    </row>
    <row r="183" spans="1:31" x14ac:dyDescent="0.25">
      <c r="A183" s="37"/>
      <c r="B183" s="37"/>
      <c r="C183" s="37"/>
      <c r="D183" s="37"/>
      <c r="E183" s="37"/>
      <c r="F183" s="37"/>
      <c r="G183" s="37"/>
      <c r="H183" s="37"/>
      <c r="I183" s="37"/>
      <c r="J183" s="37"/>
      <c r="K183" s="37"/>
      <c r="L183" s="37"/>
      <c r="M183" s="37"/>
      <c r="N183" s="37"/>
      <c r="O183" s="37"/>
      <c r="P183" s="37"/>
      <c r="Q183" s="37"/>
      <c r="R183" s="37"/>
      <c r="S183" s="37"/>
      <c r="T183" s="37"/>
      <c r="U183" s="37"/>
      <c r="V183" s="37"/>
      <c r="W183" s="37"/>
      <c r="X183" s="37"/>
      <c r="Y183" s="37"/>
      <c r="Z183" s="37"/>
      <c r="AA183" s="37"/>
      <c r="AB183" s="37"/>
      <c r="AC183" s="37"/>
      <c r="AD183" s="37"/>
      <c r="AE183" s="37"/>
    </row>
    <row r="184" spans="1:31" x14ac:dyDescent="0.25">
      <c r="A184" s="37"/>
      <c r="B184" s="37"/>
      <c r="C184" s="37"/>
      <c r="D184" s="37"/>
      <c r="E184" s="37"/>
      <c r="F184" s="37"/>
      <c r="G184" s="37"/>
      <c r="H184" s="37"/>
      <c r="I184" s="37"/>
      <c r="J184" s="37"/>
      <c r="K184" s="37"/>
      <c r="L184" s="37"/>
      <c r="M184" s="37"/>
      <c r="N184" s="37"/>
      <c r="O184" s="37"/>
      <c r="P184" s="37"/>
      <c r="Q184" s="37"/>
      <c r="R184" s="37"/>
      <c r="S184" s="37"/>
      <c r="T184" s="37"/>
      <c r="U184" s="37"/>
      <c r="V184" s="37"/>
      <c r="W184" s="37"/>
      <c r="X184" s="37"/>
      <c r="Y184" s="37"/>
      <c r="Z184" s="37"/>
      <c r="AA184" s="37"/>
      <c r="AB184" s="37"/>
      <c r="AC184" s="37"/>
      <c r="AD184" s="37"/>
      <c r="AE184" s="37"/>
    </row>
    <row r="185" spans="1:31" x14ac:dyDescent="0.25">
      <c r="A185" s="37"/>
      <c r="B185" s="37"/>
      <c r="C185" s="37"/>
      <c r="D185" s="37"/>
      <c r="E185" s="37"/>
      <c r="F185" s="37"/>
      <c r="G185" s="37"/>
      <c r="H185" s="37"/>
      <c r="I185" s="37"/>
      <c r="J185" s="37"/>
      <c r="K185" s="37"/>
      <c r="L185" s="37"/>
      <c r="M185" s="37"/>
      <c r="N185" s="37"/>
      <c r="O185" s="37"/>
      <c r="P185" s="37"/>
      <c r="Q185" s="37"/>
      <c r="R185" s="37"/>
      <c r="S185" s="37"/>
      <c r="T185" s="37"/>
      <c r="U185" s="37"/>
      <c r="V185" s="37"/>
      <c r="W185" s="37"/>
      <c r="X185" s="37"/>
      <c r="Y185" s="37"/>
      <c r="Z185" s="37"/>
      <c r="AA185" s="37"/>
      <c r="AB185" s="37"/>
      <c r="AC185" s="37"/>
      <c r="AD185" s="37"/>
      <c r="AE185" s="37"/>
    </row>
    <row r="186" spans="1:31" x14ac:dyDescent="0.25">
      <c r="A186" s="37"/>
      <c r="B186" s="37"/>
      <c r="C186" s="37"/>
      <c r="D186" s="37"/>
      <c r="E186" s="37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  <c r="Q186" s="37"/>
      <c r="R186" s="37"/>
      <c r="S186" s="37"/>
      <c r="T186" s="37"/>
      <c r="U186" s="37"/>
      <c r="V186" s="37"/>
      <c r="W186" s="37"/>
      <c r="X186" s="37"/>
      <c r="Y186" s="37"/>
      <c r="Z186" s="37"/>
      <c r="AA186" s="37"/>
      <c r="AB186" s="37"/>
      <c r="AC186" s="37"/>
      <c r="AD186" s="37"/>
      <c r="AE186" s="37"/>
    </row>
    <row r="187" spans="1:31" x14ac:dyDescent="0.25">
      <c r="A187" s="37"/>
      <c r="B187" s="37"/>
      <c r="C187" s="37"/>
      <c r="D187" s="37"/>
      <c r="E187" s="37"/>
      <c r="F187" s="37"/>
      <c r="G187" s="37"/>
      <c r="H187" s="37"/>
      <c r="I187" s="37"/>
      <c r="J187" s="37"/>
      <c r="K187" s="37"/>
      <c r="L187" s="37"/>
      <c r="M187" s="37"/>
      <c r="N187" s="37"/>
      <c r="O187" s="37"/>
      <c r="P187" s="37"/>
      <c r="Q187" s="37"/>
      <c r="R187" s="37"/>
      <c r="S187" s="37"/>
      <c r="T187" s="37"/>
      <c r="U187" s="37"/>
      <c r="V187" s="37"/>
      <c r="W187" s="37"/>
      <c r="X187" s="37"/>
      <c r="Y187" s="37"/>
      <c r="Z187" s="37"/>
      <c r="AA187" s="37"/>
      <c r="AB187" s="37"/>
      <c r="AC187" s="37"/>
      <c r="AD187" s="37"/>
      <c r="AE187" s="37"/>
    </row>
    <row r="188" spans="1:31" x14ac:dyDescent="0.25">
      <c r="A188" s="37"/>
      <c r="B188" s="37"/>
      <c r="C188" s="37"/>
      <c r="D188" s="37"/>
      <c r="E188" s="37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7"/>
      <c r="Q188" s="37"/>
      <c r="R188" s="37"/>
      <c r="S188" s="37"/>
      <c r="T188" s="37"/>
      <c r="U188" s="37"/>
      <c r="V188" s="37"/>
      <c r="W188" s="37"/>
      <c r="X188" s="37"/>
      <c r="Y188" s="37"/>
      <c r="Z188" s="37"/>
      <c r="AA188" s="37"/>
      <c r="AB188" s="37"/>
      <c r="AC188" s="37"/>
      <c r="AD188" s="37"/>
      <c r="AE188" s="37"/>
    </row>
    <row r="189" spans="1:31" x14ac:dyDescent="0.25">
      <c r="A189" s="37"/>
      <c r="B189" s="37"/>
      <c r="C189" s="37"/>
      <c r="D189" s="37"/>
      <c r="E189" s="37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7"/>
      <c r="Q189" s="37"/>
      <c r="R189" s="37"/>
      <c r="S189" s="37"/>
      <c r="T189" s="37"/>
      <c r="U189" s="37"/>
      <c r="V189" s="37"/>
      <c r="W189" s="37"/>
      <c r="X189" s="37"/>
      <c r="Y189" s="37"/>
      <c r="Z189" s="37"/>
      <c r="AA189" s="37"/>
      <c r="AB189" s="37"/>
      <c r="AC189" s="37"/>
      <c r="AD189" s="37"/>
      <c r="AE189" s="37"/>
    </row>
    <row r="190" spans="1:31" x14ac:dyDescent="0.25">
      <c r="A190" s="37"/>
      <c r="B190" s="37"/>
      <c r="C190" s="37"/>
      <c r="D190" s="37"/>
      <c r="E190" s="37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7"/>
      <c r="Q190" s="37"/>
      <c r="R190" s="37"/>
      <c r="S190" s="37"/>
      <c r="T190" s="37"/>
      <c r="U190" s="37"/>
      <c r="V190" s="37"/>
      <c r="W190" s="37"/>
      <c r="X190" s="37"/>
      <c r="Y190" s="37"/>
      <c r="Z190" s="37"/>
      <c r="AA190" s="37"/>
      <c r="AB190" s="37"/>
      <c r="AC190" s="37"/>
      <c r="AD190" s="37"/>
      <c r="AE190" s="37"/>
    </row>
    <row r="191" spans="1:31" x14ac:dyDescent="0.25">
      <c r="A191" s="37"/>
      <c r="B191" s="37"/>
      <c r="C191" s="37"/>
      <c r="D191" s="37"/>
      <c r="E191" s="37"/>
      <c r="F191" s="37"/>
      <c r="G191" s="37"/>
      <c r="H191" s="37"/>
      <c r="I191" s="37"/>
      <c r="J191" s="37"/>
      <c r="K191" s="37"/>
      <c r="L191" s="37"/>
      <c r="M191" s="37"/>
      <c r="N191" s="37"/>
      <c r="O191" s="37"/>
      <c r="P191" s="37"/>
      <c r="Q191" s="37"/>
      <c r="R191" s="37"/>
      <c r="S191" s="37"/>
      <c r="T191" s="37"/>
      <c r="U191" s="37"/>
      <c r="V191" s="37"/>
      <c r="W191" s="37"/>
      <c r="X191" s="37"/>
      <c r="Y191" s="37"/>
      <c r="Z191" s="37"/>
      <c r="AA191" s="37"/>
      <c r="AB191" s="37"/>
      <c r="AC191" s="37"/>
      <c r="AD191" s="37"/>
      <c r="AE191" s="37"/>
    </row>
    <row r="192" spans="1:31" x14ac:dyDescent="0.25">
      <c r="A192" s="37"/>
      <c r="B192" s="37"/>
      <c r="C192" s="37"/>
      <c r="D192" s="37"/>
      <c r="E192" s="37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7"/>
      <c r="Q192" s="37"/>
      <c r="R192" s="37"/>
      <c r="S192" s="37"/>
      <c r="T192" s="37"/>
      <c r="U192" s="37"/>
      <c r="V192" s="37"/>
      <c r="W192" s="37"/>
      <c r="X192" s="37"/>
      <c r="Y192" s="37"/>
      <c r="Z192" s="37"/>
      <c r="AA192" s="37"/>
      <c r="AB192" s="37"/>
      <c r="AC192" s="37"/>
      <c r="AD192" s="37"/>
      <c r="AE192" s="37"/>
    </row>
    <row r="193" spans="1:31" x14ac:dyDescent="0.25">
      <c r="A193" s="37"/>
      <c r="B193" s="37"/>
      <c r="C193" s="37"/>
      <c r="D193" s="37"/>
      <c r="E193" s="37"/>
      <c r="F193" s="37"/>
      <c r="G193" s="37"/>
      <c r="H193" s="37"/>
      <c r="I193" s="37"/>
      <c r="J193" s="37"/>
      <c r="K193" s="37"/>
      <c r="L193" s="37"/>
      <c r="M193" s="37"/>
      <c r="N193" s="37"/>
      <c r="O193" s="37"/>
      <c r="P193" s="37"/>
      <c r="Q193" s="37"/>
      <c r="R193" s="37"/>
      <c r="S193" s="37"/>
      <c r="T193" s="37"/>
      <c r="U193" s="37"/>
      <c r="V193" s="37"/>
      <c r="W193" s="37"/>
      <c r="X193" s="37"/>
      <c r="Y193" s="37"/>
      <c r="Z193" s="37"/>
      <c r="AA193" s="37"/>
      <c r="AB193" s="37"/>
      <c r="AC193" s="37"/>
      <c r="AD193" s="37"/>
      <c r="AE193" s="37"/>
    </row>
    <row r="194" spans="1:31" x14ac:dyDescent="0.25">
      <c r="A194" s="37"/>
      <c r="B194" s="37"/>
      <c r="C194" s="37"/>
      <c r="D194" s="37"/>
      <c r="E194" s="37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  <c r="Q194" s="37"/>
      <c r="R194" s="37"/>
      <c r="S194" s="37"/>
      <c r="T194" s="37"/>
      <c r="U194" s="37"/>
      <c r="V194" s="37"/>
      <c r="W194" s="37"/>
      <c r="X194" s="37"/>
      <c r="Y194" s="37"/>
      <c r="Z194" s="37"/>
      <c r="AA194" s="37"/>
      <c r="AB194" s="37"/>
      <c r="AC194" s="37"/>
      <c r="AD194" s="37"/>
      <c r="AE194" s="37"/>
    </row>
    <row r="195" spans="1:31" x14ac:dyDescent="0.25">
      <c r="A195" s="37"/>
      <c r="B195" s="37"/>
      <c r="C195" s="37"/>
      <c r="D195" s="37"/>
      <c r="E195" s="37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7"/>
      <c r="Q195" s="37"/>
      <c r="R195" s="37"/>
      <c r="S195" s="37"/>
      <c r="T195" s="37"/>
      <c r="U195" s="37"/>
      <c r="V195" s="37"/>
      <c r="W195" s="37"/>
      <c r="X195" s="37"/>
      <c r="Y195" s="37"/>
      <c r="Z195" s="37"/>
      <c r="AA195" s="37"/>
      <c r="AB195" s="37"/>
      <c r="AC195" s="37"/>
      <c r="AD195" s="37"/>
      <c r="AE195" s="37"/>
    </row>
    <row r="196" spans="1:31" x14ac:dyDescent="0.25">
      <c r="A196" s="37"/>
      <c r="B196" s="37"/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  <c r="R196" s="37"/>
      <c r="S196" s="37"/>
      <c r="T196" s="37"/>
      <c r="U196" s="37"/>
      <c r="V196" s="37"/>
      <c r="W196" s="37"/>
      <c r="X196" s="37"/>
      <c r="Y196" s="37"/>
      <c r="Z196" s="37"/>
      <c r="AA196" s="37"/>
      <c r="AB196" s="37"/>
      <c r="AC196" s="37"/>
      <c r="AD196" s="37"/>
      <c r="AE196" s="37"/>
    </row>
    <row r="197" spans="1:31" x14ac:dyDescent="0.25">
      <c r="A197" s="37"/>
      <c r="B197" s="37"/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7"/>
      <c r="R197" s="37"/>
      <c r="S197" s="37"/>
      <c r="T197" s="37"/>
      <c r="U197" s="37"/>
      <c r="V197" s="37"/>
      <c r="W197" s="37"/>
      <c r="X197" s="37"/>
      <c r="Y197" s="37"/>
      <c r="Z197" s="37"/>
      <c r="AA197" s="37"/>
      <c r="AB197" s="37"/>
      <c r="AC197" s="37"/>
      <c r="AD197" s="37"/>
      <c r="AE197" s="37"/>
    </row>
    <row r="198" spans="1:31" x14ac:dyDescent="0.25">
      <c r="A198" s="37"/>
      <c r="B198" s="37"/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  <c r="Q198" s="37"/>
      <c r="R198" s="37"/>
      <c r="S198" s="37"/>
      <c r="T198" s="37"/>
      <c r="U198" s="37"/>
      <c r="V198" s="37"/>
      <c r="W198" s="37"/>
      <c r="X198" s="37"/>
      <c r="Y198" s="37"/>
      <c r="Z198" s="37"/>
      <c r="AA198" s="37"/>
      <c r="AB198" s="37"/>
      <c r="AC198" s="37"/>
      <c r="AD198" s="37"/>
      <c r="AE198" s="37"/>
    </row>
    <row r="199" spans="1:31" x14ac:dyDescent="0.25">
      <c r="A199" s="37"/>
      <c r="B199" s="37"/>
      <c r="C199" s="37"/>
      <c r="D199" s="37"/>
      <c r="E199" s="37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  <c r="Q199" s="37"/>
      <c r="R199" s="37"/>
      <c r="S199" s="37"/>
      <c r="T199" s="37"/>
      <c r="U199" s="37"/>
      <c r="V199" s="37"/>
      <c r="W199" s="37"/>
      <c r="X199" s="37"/>
      <c r="Y199" s="37"/>
      <c r="Z199" s="37"/>
      <c r="AA199" s="37"/>
      <c r="AB199" s="37"/>
      <c r="AC199" s="37"/>
      <c r="AD199" s="37"/>
      <c r="AE199" s="37"/>
    </row>
    <row r="200" spans="1:31" x14ac:dyDescent="0.25">
      <c r="A200" s="37"/>
      <c r="B200" s="37"/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  <c r="Q200" s="37"/>
      <c r="R200" s="37"/>
      <c r="S200" s="37"/>
      <c r="T200" s="37"/>
      <c r="U200" s="37"/>
      <c r="V200" s="37"/>
      <c r="W200" s="37"/>
      <c r="X200" s="37"/>
      <c r="Y200" s="37"/>
      <c r="Z200" s="37"/>
      <c r="AA200" s="37"/>
      <c r="AB200" s="37"/>
      <c r="AC200" s="37"/>
      <c r="AD200" s="37"/>
      <c r="AE200" s="37"/>
    </row>
    <row r="201" spans="1:31" x14ac:dyDescent="0.25">
      <c r="A201" s="37"/>
      <c r="B201" s="37"/>
      <c r="C201" s="37"/>
      <c r="D201" s="37"/>
      <c r="E201" s="37"/>
      <c r="F201" s="37"/>
      <c r="G201" s="37"/>
      <c r="H201" s="37"/>
      <c r="I201" s="37"/>
      <c r="J201" s="37"/>
      <c r="K201" s="37"/>
      <c r="L201" s="37"/>
      <c r="M201" s="37"/>
      <c r="N201" s="37"/>
      <c r="O201" s="37"/>
      <c r="P201" s="37"/>
      <c r="Q201" s="37"/>
      <c r="R201" s="37"/>
      <c r="S201" s="37"/>
      <c r="T201" s="37"/>
      <c r="U201" s="37"/>
      <c r="V201" s="37"/>
      <c r="W201" s="37"/>
      <c r="X201" s="37"/>
      <c r="Y201" s="37"/>
      <c r="Z201" s="37"/>
      <c r="AA201" s="37"/>
      <c r="AB201" s="37"/>
      <c r="AC201" s="37"/>
      <c r="AD201" s="37"/>
      <c r="AE201" s="37"/>
    </row>
    <row r="202" spans="1:31" x14ac:dyDescent="0.25">
      <c r="A202" s="37"/>
      <c r="B202" s="37"/>
      <c r="C202" s="37"/>
      <c r="D202" s="37"/>
      <c r="E202" s="37"/>
      <c r="F202" s="37"/>
      <c r="G202" s="37"/>
      <c r="H202" s="37"/>
      <c r="I202" s="37"/>
      <c r="J202" s="37"/>
      <c r="K202" s="37"/>
      <c r="L202" s="37"/>
      <c r="M202" s="37"/>
      <c r="N202" s="37"/>
      <c r="O202" s="37"/>
      <c r="P202" s="37"/>
      <c r="Q202" s="37"/>
      <c r="R202" s="37"/>
      <c r="S202" s="37"/>
      <c r="T202" s="37"/>
      <c r="U202" s="37"/>
      <c r="V202" s="37"/>
      <c r="W202" s="37"/>
      <c r="X202" s="37"/>
      <c r="Y202" s="37"/>
      <c r="Z202" s="37"/>
      <c r="AA202" s="37"/>
      <c r="AB202" s="37"/>
      <c r="AC202" s="37"/>
      <c r="AD202" s="37"/>
      <c r="AE202" s="37"/>
    </row>
    <row r="203" spans="1:31" x14ac:dyDescent="0.25">
      <c r="A203" s="37"/>
      <c r="B203" s="37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  <c r="Q203" s="37"/>
      <c r="R203" s="37"/>
      <c r="S203" s="37"/>
      <c r="T203" s="37"/>
      <c r="U203" s="37"/>
      <c r="V203" s="37"/>
      <c r="W203" s="37"/>
      <c r="X203" s="37"/>
      <c r="Y203" s="37"/>
      <c r="Z203" s="37"/>
      <c r="AA203" s="37"/>
      <c r="AB203" s="37"/>
      <c r="AC203" s="37"/>
      <c r="AD203" s="37"/>
      <c r="AE203" s="37"/>
    </row>
    <row r="204" spans="1:31" x14ac:dyDescent="0.25">
      <c r="A204" s="37"/>
      <c r="B204" s="37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7"/>
      <c r="AA204" s="37"/>
      <c r="AB204" s="37"/>
      <c r="AC204" s="37"/>
      <c r="AD204" s="37"/>
      <c r="AE204" s="37"/>
    </row>
    <row r="205" spans="1:31" x14ac:dyDescent="0.25">
      <c r="A205" s="37"/>
      <c r="B205" s="37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  <c r="Q205" s="37"/>
      <c r="R205" s="37"/>
      <c r="S205" s="37"/>
      <c r="T205" s="37"/>
      <c r="U205" s="37"/>
      <c r="V205" s="37"/>
      <c r="W205" s="37"/>
      <c r="X205" s="37"/>
      <c r="Y205" s="37"/>
      <c r="Z205" s="37"/>
      <c r="AA205" s="37"/>
      <c r="AB205" s="37"/>
      <c r="AC205" s="37"/>
      <c r="AD205" s="37"/>
      <c r="AE205" s="37"/>
    </row>
    <row r="206" spans="1:31" x14ac:dyDescent="0.25">
      <c r="A206" s="37"/>
      <c r="B206" s="37"/>
      <c r="C206" s="37"/>
      <c r="D206" s="37"/>
      <c r="E206" s="37"/>
      <c r="F206" s="37"/>
      <c r="G206" s="37"/>
      <c r="H206" s="37"/>
      <c r="I206" s="37"/>
      <c r="J206" s="37"/>
      <c r="K206" s="37"/>
      <c r="L206" s="37"/>
      <c r="M206" s="37"/>
      <c r="N206" s="37"/>
      <c r="O206" s="37"/>
      <c r="P206" s="37"/>
      <c r="Q206" s="37"/>
      <c r="R206" s="37"/>
      <c r="S206" s="37"/>
      <c r="T206" s="37"/>
      <c r="U206" s="37"/>
      <c r="V206" s="37"/>
      <c r="W206" s="37"/>
      <c r="X206" s="37"/>
      <c r="Y206" s="37"/>
      <c r="Z206" s="37"/>
      <c r="AA206" s="37"/>
      <c r="AB206" s="37"/>
      <c r="AC206" s="37"/>
      <c r="AD206" s="37"/>
      <c r="AE206" s="37"/>
    </row>
    <row r="207" spans="1:31" x14ac:dyDescent="0.25">
      <c r="A207" s="37"/>
      <c r="B207" s="37"/>
      <c r="C207" s="37"/>
      <c r="D207" s="37"/>
      <c r="E207" s="37"/>
      <c r="F207" s="37"/>
      <c r="G207" s="37"/>
      <c r="H207" s="37"/>
      <c r="I207" s="37"/>
      <c r="J207" s="37"/>
      <c r="K207" s="37"/>
      <c r="L207" s="37"/>
      <c r="M207" s="37"/>
      <c r="N207" s="37"/>
      <c r="O207" s="37"/>
      <c r="P207" s="37"/>
      <c r="Q207" s="37"/>
      <c r="R207" s="37"/>
      <c r="S207" s="37"/>
      <c r="T207" s="37"/>
      <c r="U207" s="37"/>
      <c r="V207" s="37"/>
      <c r="W207" s="37"/>
      <c r="X207" s="37"/>
      <c r="Y207" s="37"/>
      <c r="Z207" s="37"/>
      <c r="AA207" s="37"/>
      <c r="AB207" s="37"/>
      <c r="AC207" s="37"/>
      <c r="AD207" s="37"/>
      <c r="AE207" s="37"/>
    </row>
    <row r="208" spans="1:31" x14ac:dyDescent="0.25">
      <c r="A208" s="37"/>
      <c r="B208" s="37"/>
      <c r="C208" s="37"/>
      <c r="D208" s="37"/>
      <c r="E208" s="37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  <c r="Q208" s="37"/>
      <c r="R208" s="37"/>
      <c r="S208" s="37"/>
      <c r="T208" s="37"/>
      <c r="U208" s="37"/>
      <c r="V208" s="37"/>
      <c r="W208" s="37"/>
      <c r="X208" s="37"/>
      <c r="Y208" s="37"/>
      <c r="Z208" s="37"/>
      <c r="AA208" s="37"/>
      <c r="AB208" s="37"/>
      <c r="AC208" s="37"/>
      <c r="AD208" s="37"/>
      <c r="AE208" s="37"/>
    </row>
    <row r="209" spans="1:31" x14ac:dyDescent="0.25">
      <c r="A209" s="37"/>
      <c r="B209" s="37"/>
      <c r="C209" s="37"/>
      <c r="D209" s="37"/>
      <c r="E209" s="37"/>
      <c r="F209" s="37"/>
      <c r="G209" s="37"/>
      <c r="H209" s="37"/>
      <c r="I209" s="37"/>
      <c r="J209" s="37"/>
      <c r="K209" s="37"/>
      <c r="L209" s="37"/>
      <c r="M209" s="37"/>
      <c r="N209" s="37"/>
      <c r="O209" s="37"/>
      <c r="P209" s="37"/>
      <c r="Q209" s="37"/>
      <c r="R209" s="37"/>
      <c r="S209" s="37"/>
      <c r="T209" s="37"/>
      <c r="U209" s="37"/>
      <c r="V209" s="37"/>
      <c r="W209" s="37"/>
      <c r="X209" s="37"/>
      <c r="Y209" s="37"/>
      <c r="Z209" s="37"/>
      <c r="AA209" s="37"/>
      <c r="AB209" s="37"/>
      <c r="AC209" s="37"/>
      <c r="AD209" s="37"/>
      <c r="AE209" s="37"/>
    </row>
    <row r="210" spans="1:31" x14ac:dyDescent="0.25">
      <c r="A210" s="37"/>
      <c r="B210" s="37"/>
      <c r="C210" s="37"/>
      <c r="D210" s="37"/>
      <c r="E210" s="37"/>
      <c r="F210" s="37"/>
      <c r="G210" s="37"/>
      <c r="H210" s="37"/>
      <c r="I210" s="37"/>
      <c r="J210" s="37"/>
      <c r="K210" s="37"/>
      <c r="L210" s="37"/>
      <c r="M210" s="37"/>
      <c r="N210" s="37"/>
      <c r="O210" s="37"/>
      <c r="P210" s="37"/>
      <c r="Q210" s="37"/>
      <c r="R210" s="37"/>
      <c r="S210" s="37"/>
      <c r="T210" s="37"/>
      <c r="U210" s="37"/>
      <c r="V210" s="37"/>
      <c r="W210" s="37"/>
      <c r="X210" s="37"/>
      <c r="Y210" s="37"/>
      <c r="Z210" s="37"/>
      <c r="AA210" s="37"/>
      <c r="AB210" s="37"/>
      <c r="AC210" s="37"/>
      <c r="AD210" s="37"/>
      <c r="AE210" s="37"/>
    </row>
    <row r="211" spans="1:31" x14ac:dyDescent="0.25">
      <c r="A211" s="37"/>
      <c r="B211" s="37"/>
      <c r="C211" s="37"/>
      <c r="D211" s="37"/>
      <c r="E211" s="37"/>
      <c r="F211" s="37"/>
      <c r="G211" s="37"/>
      <c r="H211" s="37"/>
      <c r="I211" s="37"/>
      <c r="J211" s="37"/>
      <c r="K211" s="37"/>
      <c r="L211" s="37"/>
      <c r="M211" s="37"/>
      <c r="N211" s="37"/>
      <c r="O211" s="37"/>
      <c r="P211" s="37"/>
      <c r="Q211" s="37"/>
      <c r="R211" s="37"/>
      <c r="S211" s="37"/>
      <c r="T211" s="37"/>
      <c r="U211" s="37"/>
      <c r="V211" s="37"/>
      <c r="W211" s="37"/>
      <c r="X211" s="37"/>
      <c r="Y211" s="37"/>
      <c r="Z211" s="37"/>
      <c r="AA211" s="37"/>
      <c r="AB211" s="37"/>
      <c r="AC211" s="37"/>
      <c r="AD211" s="37"/>
      <c r="AE211" s="37"/>
    </row>
    <row r="212" spans="1:31" x14ac:dyDescent="0.25">
      <c r="A212" s="37"/>
      <c r="B212" s="37"/>
      <c r="C212" s="37"/>
      <c r="D212" s="37"/>
      <c r="E212" s="37"/>
      <c r="F212" s="37"/>
      <c r="G212" s="37"/>
      <c r="H212" s="37"/>
      <c r="I212" s="37"/>
      <c r="J212" s="37"/>
      <c r="K212" s="37"/>
      <c r="L212" s="37"/>
      <c r="M212" s="37"/>
      <c r="N212" s="37"/>
      <c r="O212" s="37"/>
      <c r="P212" s="37"/>
      <c r="Q212" s="37"/>
      <c r="R212" s="37"/>
      <c r="S212" s="37"/>
      <c r="T212" s="37"/>
      <c r="U212" s="37"/>
      <c r="V212" s="37"/>
      <c r="W212" s="37"/>
      <c r="X212" s="37"/>
      <c r="Y212" s="37"/>
      <c r="Z212" s="37"/>
      <c r="AA212" s="37"/>
      <c r="AB212" s="37"/>
      <c r="AC212" s="37"/>
      <c r="AD212" s="37"/>
      <c r="AE212" s="37"/>
    </row>
    <row r="213" spans="1:31" x14ac:dyDescent="0.25">
      <c r="A213" s="37"/>
      <c r="B213" s="37"/>
      <c r="C213" s="37"/>
      <c r="D213" s="37"/>
      <c r="E213" s="37"/>
      <c r="F213" s="37"/>
      <c r="G213" s="37"/>
      <c r="H213" s="37"/>
      <c r="I213" s="37"/>
      <c r="J213" s="37"/>
      <c r="K213" s="37"/>
      <c r="L213" s="37"/>
      <c r="M213" s="37"/>
      <c r="N213" s="37"/>
      <c r="O213" s="37"/>
      <c r="P213" s="37"/>
      <c r="Q213" s="37"/>
      <c r="R213" s="37"/>
      <c r="S213" s="37"/>
      <c r="T213" s="37"/>
      <c r="U213" s="37"/>
      <c r="V213" s="37"/>
      <c r="W213" s="37"/>
      <c r="X213" s="37"/>
      <c r="Y213" s="37"/>
      <c r="Z213" s="37"/>
      <c r="AA213" s="37"/>
      <c r="AB213" s="37"/>
      <c r="AC213" s="37"/>
      <c r="AD213" s="37"/>
      <c r="AE213" s="37"/>
    </row>
    <row r="214" spans="1:31" x14ac:dyDescent="0.25">
      <c r="A214" s="37"/>
      <c r="B214" s="37"/>
      <c r="C214" s="37"/>
      <c r="D214" s="37"/>
      <c r="E214" s="37"/>
      <c r="F214" s="37"/>
      <c r="G214" s="37"/>
      <c r="H214" s="37"/>
      <c r="I214" s="37"/>
      <c r="J214" s="37"/>
      <c r="K214" s="37"/>
      <c r="L214" s="37"/>
      <c r="M214" s="37"/>
      <c r="N214" s="37"/>
      <c r="O214" s="37"/>
      <c r="P214" s="37"/>
      <c r="Q214" s="37"/>
      <c r="R214" s="37"/>
      <c r="S214" s="37"/>
      <c r="T214" s="37"/>
      <c r="U214" s="37"/>
      <c r="V214" s="37"/>
      <c r="W214" s="37"/>
      <c r="X214" s="37"/>
      <c r="Y214" s="37"/>
      <c r="Z214" s="37"/>
      <c r="AA214" s="37"/>
      <c r="AB214" s="37"/>
      <c r="AC214" s="37"/>
      <c r="AD214" s="37"/>
      <c r="AE214" s="37"/>
    </row>
    <row r="215" spans="1:31" x14ac:dyDescent="0.25">
      <c r="A215" s="37"/>
      <c r="B215" s="37"/>
      <c r="C215" s="37"/>
      <c r="D215" s="37"/>
      <c r="E215" s="37"/>
      <c r="F215" s="37"/>
      <c r="G215" s="37"/>
      <c r="H215" s="37"/>
      <c r="I215" s="37"/>
      <c r="J215" s="37"/>
      <c r="K215" s="37"/>
      <c r="L215" s="37"/>
      <c r="M215" s="37"/>
      <c r="N215" s="37"/>
      <c r="O215" s="37"/>
      <c r="P215" s="37"/>
      <c r="Q215" s="37"/>
      <c r="R215" s="37"/>
      <c r="S215" s="37"/>
      <c r="T215" s="37"/>
      <c r="U215" s="37"/>
      <c r="V215" s="37"/>
      <c r="W215" s="37"/>
      <c r="X215" s="37"/>
      <c r="Y215" s="37"/>
      <c r="Z215" s="37"/>
      <c r="AA215" s="37"/>
      <c r="AB215" s="37"/>
      <c r="AC215" s="37"/>
      <c r="AD215" s="37"/>
      <c r="AE215" s="37"/>
    </row>
    <row r="216" spans="1:31" x14ac:dyDescent="0.25">
      <c r="A216" s="37"/>
      <c r="B216" s="37"/>
      <c r="C216" s="37"/>
      <c r="D216" s="37"/>
      <c r="E216" s="37"/>
      <c r="F216" s="37"/>
      <c r="G216" s="37"/>
      <c r="H216" s="37"/>
      <c r="I216" s="37"/>
      <c r="J216" s="37"/>
      <c r="K216" s="37"/>
      <c r="L216" s="37"/>
      <c r="M216" s="37"/>
      <c r="N216" s="37"/>
      <c r="O216" s="37"/>
      <c r="P216" s="37"/>
      <c r="Q216" s="37"/>
      <c r="R216" s="37"/>
      <c r="S216" s="37"/>
      <c r="T216" s="37"/>
      <c r="U216" s="37"/>
      <c r="V216" s="37"/>
      <c r="W216" s="37"/>
      <c r="X216" s="37"/>
      <c r="Y216" s="37"/>
      <c r="Z216" s="37"/>
      <c r="AA216" s="37"/>
      <c r="AB216" s="37"/>
      <c r="AC216" s="37"/>
      <c r="AD216" s="37"/>
      <c r="AE216" s="37"/>
    </row>
    <row r="217" spans="1:31" x14ac:dyDescent="0.25">
      <c r="A217" s="37"/>
      <c r="B217" s="37"/>
      <c r="C217" s="37"/>
      <c r="D217" s="37"/>
      <c r="E217" s="37"/>
      <c r="F217" s="37"/>
      <c r="G217" s="37"/>
      <c r="H217" s="37"/>
      <c r="I217" s="37"/>
      <c r="J217" s="37"/>
      <c r="K217" s="37"/>
      <c r="L217" s="37"/>
      <c r="M217" s="37"/>
      <c r="N217" s="37"/>
      <c r="O217" s="37"/>
      <c r="P217" s="37"/>
      <c r="Q217" s="37"/>
      <c r="R217" s="37"/>
      <c r="S217" s="37"/>
      <c r="T217" s="37"/>
      <c r="U217" s="37"/>
      <c r="V217" s="37"/>
      <c r="W217" s="37"/>
      <c r="X217" s="37"/>
      <c r="Y217" s="37"/>
      <c r="Z217" s="37"/>
      <c r="AA217" s="37"/>
      <c r="AB217" s="37"/>
      <c r="AC217" s="37"/>
      <c r="AD217" s="37"/>
      <c r="AE217" s="37"/>
    </row>
    <row r="218" spans="1:31" x14ac:dyDescent="0.25">
      <c r="A218" s="37"/>
      <c r="B218" s="37"/>
      <c r="C218" s="37"/>
      <c r="D218" s="37"/>
      <c r="E218" s="37"/>
      <c r="F218" s="37"/>
      <c r="G218" s="37"/>
      <c r="H218" s="37"/>
      <c r="I218" s="37"/>
      <c r="J218" s="37"/>
      <c r="K218" s="37"/>
      <c r="L218" s="37"/>
      <c r="M218" s="37"/>
      <c r="N218" s="37"/>
      <c r="O218" s="37"/>
      <c r="P218" s="37"/>
      <c r="Q218" s="37"/>
      <c r="R218" s="37"/>
      <c r="S218" s="37"/>
      <c r="T218" s="37"/>
      <c r="U218" s="37"/>
      <c r="V218" s="37"/>
      <c r="W218" s="37"/>
      <c r="X218" s="37"/>
      <c r="Y218" s="37"/>
      <c r="Z218" s="37"/>
      <c r="AA218" s="37"/>
      <c r="AB218" s="37"/>
      <c r="AC218" s="37"/>
      <c r="AD218" s="37"/>
      <c r="AE218" s="37"/>
    </row>
    <row r="219" spans="1:31" x14ac:dyDescent="0.25">
      <c r="A219" s="37"/>
      <c r="B219" s="37"/>
      <c r="C219" s="37"/>
      <c r="D219" s="37"/>
      <c r="E219" s="37"/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7"/>
      <c r="Q219" s="37"/>
      <c r="R219" s="37"/>
      <c r="S219" s="37"/>
      <c r="T219" s="37"/>
      <c r="U219" s="37"/>
      <c r="V219" s="37"/>
      <c r="W219" s="37"/>
      <c r="X219" s="37"/>
      <c r="Y219" s="37"/>
      <c r="Z219" s="37"/>
      <c r="AA219" s="37"/>
      <c r="AB219" s="37"/>
      <c r="AC219" s="37"/>
      <c r="AD219" s="37"/>
      <c r="AE219" s="37"/>
    </row>
    <row r="220" spans="1:31" x14ac:dyDescent="0.25">
      <c r="A220" s="37"/>
      <c r="B220" s="37"/>
      <c r="C220" s="37"/>
      <c r="D220" s="37"/>
      <c r="E220" s="37"/>
      <c r="F220" s="37"/>
      <c r="G220" s="37"/>
      <c r="H220" s="37"/>
      <c r="I220" s="37"/>
      <c r="J220" s="37"/>
      <c r="K220" s="37"/>
      <c r="L220" s="37"/>
      <c r="M220" s="37"/>
      <c r="N220" s="37"/>
      <c r="O220" s="37"/>
      <c r="P220" s="37"/>
      <c r="Q220" s="37"/>
      <c r="R220" s="37"/>
      <c r="S220" s="37"/>
      <c r="T220" s="37"/>
      <c r="U220" s="37"/>
      <c r="V220" s="37"/>
      <c r="W220" s="37"/>
      <c r="X220" s="37"/>
      <c r="Y220" s="37"/>
      <c r="Z220" s="37"/>
      <c r="AA220" s="37"/>
      <c r="AB220" s="37"/>
      <c r="AC220" s="37"/>
      <c r="AD220" s="37"/>
      <c r="AE220" s="37"/>
    </row>
    <row r="221" spans="1:31" x14ac:dyDescent="0.25">
      <c r="A221" s="37"/>
      <c r="B221" s="37"/>
      <c r="C221" s="37"/>
      <c r="D221" s="37"/>
      <c r="E221" s="37"/>
      <c r="F221" s="37"/>
      <c r="G221" s="37"/>
      <c r="H221" s="37"/>
      <c r="I221" s="37"/>
      <c r="J221" s="37"/>
      <c r="K221" s="37"/>
      <c r="L221" s="37"/>
      <c r="M221" s="37"/>
      <c r="N221" s="37"/>
      <c r="O221" s="37"/>
      <c r="P221" s="37"/>
      <c r="Q221" s="37"/>
      <c r="R221" s="37"/>
      <c r="S221" s="37"/>
      <c r="T221" s="37"/>
      <c r="U221" s="37"/>
      <c r="V221" s="37"/>
      <c r="W221" s="37"/>
      <c r="X221" s="37"/>
      <c r="Y221" s="37"/>
      <c r="Z221" s="37"/>
      <c r="AA221" s="37"/>
      <c r="AB221" s="37"/>
      <c r="AC221" s="37"/>
      <c r="AD221" s="37"/>
      <c r="AE221" s="37"/>
    </row>
    <row r="222" spans="1:31" x14ac:dyDescent="0.25">
      <c r="A222" s="37"/>
      <c r="B222" s="37"/>
      <c r="C222" s="37"/>
      <c r="D222" s="37"/>
      <c r="E222" s="37"/>
      <c r="F222" s="37"/>
      <c r="G222" s="37"/>
      <c r="H222" s="37"/>
      <c r="I222" s="37"/>
      <c r="J222" s="37"/>
      <c r="K222" s="37"/>
      <c r="L222" s="37"/>
      <c r="M222" s="37"/>
      <c r="N222" s="37"/>
      <c r="O222" s="37"/>
      <c r="P222" s="37"/>
      <c r="Q222" s="37"/>
      <c r="R222" s="37"/>
      <c r="S222" s="37"/>
      <c r="T222" s="37"/>
      <c r="U222" s="37"/>
      <c r="V222" s="37"/>
      <c r="W222" s="37"/>
      <c r="X222" s="37"/>
      <c r="Y222" s="37"/>
      <c r="Z222" s="37"/>
      <c r="AA222" s="37"/>
      <c r="AB222" s="37"/>
      <c r="AC222" s="37"/>
      <c r="AD222" s="37"/>
      <c r="AE222" s="37"/>
    </row>
    <row r="223" spans="1:31" x14ac:dyDescent="0.25">
      <c r="A223" s="37"/>
      <c r="B223" s="37"/>
      <c r="C223" s="37"/>
      <c r="D223" s="37"/>
      <c r="E223" s="37"/>
      <c r="F223" s="37"/>
      <c r="G223" s="37"/>
      <c r="H223" s="37"/>
      <c r="I223" s="37"/>
      <c r="J223" s="37"/>
      <c r="K223" s="37"/>
      <c r="L223" s="37"/>
      <c r="M223" s="37"/>
      <c r="N223" s="37"/>
      <c r="O223" s="37"/>
      <c r="P223" s="37"/>
      <c r="Q223" s="37"/>
      <c r="R223" s="37"/>
      <c r="S223" s="37"/>
      <c r="T223" s="37"/>
      <c r="U223" s="37"/>
      <c r="V223" s="37"/>
      <c r="W223" s="37"/>
      <c r="X223" s="37"/>
      <c r="Y223" s="37"/>
      <c r="Z223" s="37"/>
      <c r="AA223" s="37"/>
      <c r="AB223" s="37"/>
      <c r="AC223" s="37"/>
      <c r="AD223" s="37"/>
      <c r="AE223" s="37"/>
    </row>
    <row r="224" spans="1:31" x14ac:dyDescent="0.25">
      <c r="A224" s="37"/>
      <c r="B224" s="37"/>
      <c r="C224" s="37"/>
      <c r="D224" s="37"/>
      <c r="E224" s="37"/>
      <c r="F224" s="37"/>
      <c r="G224" s="37"/>
      <c r="H224" s="37"/>
      <c r="I224" s="37"/>
      <c r="J224" s="37"/>
      <c r="K224" s="37"/>
      <c r="L224" s="37"/>
      <c r="M224" s="37"/>
      <c r="N224" s="37"/>
      <c r="O224" s="37"/>
      <c r="P224" s="37"/>
      <c r="Q224" s="37"/>
      <c r="R224" s="37"/>
      <c r="S224" s="37"/>
      <c r="T224" s="37"/>
      <c r="U224" s="37"/>
      <c r="V224" s="37"/>
      <c r="W224" s="37"/>
      <c r="X224" s="37"/>
      <c r="Y224" s="37"/>
      <c r="Z224" s="37"/>
      <c r="AA224" s="37"/>
      <c r="AB224" s="37"/>
      <c r="AC224" s="37"/>
      <c r="AD224" s="37"/>
      <c r="AE224" s="37"/>
    </row>
    <row r="225" spans="1:31" x14ac:dyDescent="0.25">
      <c r="A225" s="37"/>
      <c r="B225" s="37"/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  <c r="P225" s="37"/>
      <c r="Q225" s="37"/>
      <c r="R225" s="37"/>
      <c r="S225" s="37"/>
      <c r="T225" s="37"/>
      <c r="U225" s="37"/>
      <c r="V225" s="37"/>
      <c r="W225" s="37"/>
      <c r="X225" s="37"/>
      <c r="Y225" s="37"/>
      <c r="Z225" s="37"/>
      <c r="AA225" s="37"/>
      <c r="AB225" s="37"/>
      <c r="AC225" s="37"/>
      <c r="AD225" s="37"/>
      <c r="AE225" s="37"/>
    </row>
    <row r="226" spans="1:31" x14ac:dyDescent="0.25">
      <c r="A226" s="37"/>
      <c r="B226" s="37"/>
      <c r="C226" s="37"/>
      <c r="D226" s="37"/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  <c r="Q226" s="37"/>
      <c r="R226" s="37"/>
      <c r="S226" s="37"/>
      <c r="T226" s="37"/>
      <c r="U226" s="37"/>
      <c r="V226" s="37"/>
      <c r="W226" s="37"/>
      <c r="X226" s="37"/>
      <c r="Y226" s="37"/>
      <c r="Z226" s="37"/>
      <c r="AA226" s="37"/>
      <c r="AB226" s="37"/>
      <c r="AC226" s="37"/>
      <c r="AD226" s="37"/>
      <c r="AE226" s="37"/>
    </row>
    <row r="227" spans="1:31" x14ac:dyDescent="0.25">
      <c r="A227" s="37"/>
      <c r="B227" s="37"/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R227" s="37"/>
      <c r="S227" s="37"/>
      <c r="T227" s="37"/>
      <c r="U227" s="37"/>
      <c r="V227" s="37"/>
      <c r="W227" s="37"/>
      <c r="X227" s="37"/>
      <c r="Y227" s="37"/>
      <c r="Z227" s="37"/>
      <c r="AA227" s="37"/>
      <c r="AB227" s="37"/>
      <c r="AC227" s="37"/>
      <c r="AD227" s="37"/>
      <c r="AE227" s="37"/>
    </row>
    <row r="228" spans="1:31" x14ac:dyDescent="0.25">
      <c r="A228" s="37"/>
      <c r="B228" s="37"/>
      <c r="C228" s="37"/>
      <c r="D228" s="37"/>
      <c r="E228" s="37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  <c r="Q228" s="37"/>
      <c r="R228" s="37"/>
      <c r="S228" s="37"/>
      <c r="T228" s="37"/>
      <c r="U228" s="37"/>
      <c r="V228" s="37"/>
      <c r="W228" s="37"/>
      <c r="X228" s="37"/>
      <c r="Y228" s="37"/>
      <c r="Z228" s="37"/>
      <c r="AA228" s="37"/>
      <c r="AB228" s="37"/>
      <c r="AC228" s="37"/>
      <c r="AD228" s="37"/>
      <c r="AE228" s="37"/>
    </row>
    <row r="229" spans="1:31" x14ac:dyDescent="0.25">
      <c r="A229" s="37"/>
      <c r="B229" s="37"/>
      <c r="C229" s="37"/>
      <c r="D229" s="37"/>
      <c r="E229" s="37"/>
      <c r="F229" s="37"/>
      <c r="G229" s="37"/>
      <c r="H229" s="37"/>
      <c r="I229" s="37"/>
      <c r="J229" s="37"/>
      <c r="K229" s="37"/>
      <c r="L229" s="37"/>
      <c r="M229" s="37"/>
      <c r="N229" s="37"/>
      <c r="O229" s="37"/>
      <c r="P229" s="37"/>
      <c r="Q229" s="37"/>
      <c r="R229" s="37"/>
      <c r="S229" s="37"/>
      <c r="T229" s="37"/>
      <c r="U229" s="37"/>
      <c r="V229" s="37"/>
      <c r="W229" s="37"/>
      <c r="X229" s="37"/>
      <c r="Y229" s="37"/>
      <c r="Z229" s="37"/>
      <c r="AA229" s="37"/>
      <c r="AB229" s="37"/>
      <c r="AC229" s="37"/>
      <c r="AD229" s="37"/>
      <c r="AE229" s="37"/>
    </row>
    <row r="230" spans="1:31" x14ac:dyDescent="0.25">
      <c r="A230" s="37"/>
      <c r="B230" s="37"/>
      <c r="C230" s="37"/>
      <c r="D230" s="37"/>
      <c r="E230" s="37"/>
      <c r="F230" s="37"/>
      <c r="G230" s="37"/>
      <c r="H230" s="37"/>
      <c r="I230" s="37"/>
      <c r="J230" s="37"/>
      <c r="K230" s="37"/>
      <c r="L230" s="37"/>
      <c r="M230" s="37"/>
      <c r="N230" s="37"/>
      <c r="O230" s="37"/>
      <c r="P230" s="37"/>
      <c r="Q230" s="37"/>
      <c r="R230" s="37"/>
      <c r="S230" s="37"/>
      <c r="T230" s="37"/>
      <c r="U230" s="37"/>
      <c r="V230" s="37"/>
      <c r="W230" s="37"/>
      <c r="X230" s="37"/>
      <c r="Y230" s="37"/>
      <c r="Z230" s="37"/>
      <c r="AA230" s="37"/>
      <c r="AB230" s="37"/>
      <c r="AC230" s="37"/>
      <c r="AD230" s="37"/>
      <c r="AE230" s="37"/>
    </row>
    <row r="231" spans="1:31" x14ac:dyDescent="0.25">
      <c r="A231" s="37"/>
      <c r="B231" s="37"/>
      <c r="C231" s="37"/>
      <c r="D231" s="37"/>
      <c r="E231" s="37"/>
      <c r="F231" s="37"/>
      <c r="G231" s="37"/>
      <c r="H231" s="37"/>
      <c r="I231" s="37"/>
      <c r="J231" s="37"/>
      <c r="K231" s="37"/>
      <c r="L231" s="37"/>
      <c r="M231" s="37"/>
      <c r="N231" s="37"/>
      <c r="O231" s="37"/>
      <c r="P231" s="37"/>
      <c r="Q231" s="37"/>
      <c r="R231" s="37"/>
      <c r="S231" s="37"/>
      <c r="T231" s="37"/>
      <c r="U231" s="37"/>
      <c r="V231" s="37"/>
      <c r="W231" s="37"/>
      <c r="X231" s="37"/>
      <c r="Y231" s="37"/>
      <c r="Z231" s="37"/>
      <c r="AA231" s="37"/>
      <c r="AB231" s="37"/>
      <c r="AC231" s="37"/>
      <c r="AD231" s="37"/>
      <c r="AE231" s="37"/>
    </row>
    <row r="232" spans="1:31" x14ac:dyDescent="0.25">
      <c r="A232" s="37"/>
      <c r="B232" s="37"/>
      <c r="C232" s="37"/>
      <c r="D232" s="37"/>
      <c r="E232" s="37"/>
      <c r="F232" s="37"/>
      <c r="G232" s="37"/>
      <c r="H232" s="37"/>
      <c r="I232" s="37"/>
      <c r="J232" s="37"/>
      <c r="K232" s="37"/>
      <c r="L232" s="37"/>
      <c r="M232" s="37"/>
      <c r="N232" s="37"/>
      <c r="O232" s="37"/>
      <c r="P232" s="37"/>
      <c r="Q232" s="37"/>
      <c r="R232" s="37"/>
      <c r="S232" s="37"/>
      <c r="T232" s="37"/>
      <c r="U232" s="37"/>
      <c r="V232" s="37"/>
      <c r="W232" s="37"/>
      <c r="X232" s="37"/>
      <c r="Y232" s="37"/>
      <c r="Z232" s="37"/>
      <c r="AA232" s="37"/>
      <c r="AB232" s="37"/>
      <c r="AC232" s="37"/>
      <c r="AD232" s="37"/>
      <c r="AE232" s="37"/>
    </row>
    <row r="233" spans="1:31" x14ac:dyDescent="0.25">
      <c r="A233" s="37"/>
      <c r="B233" s="37"/>
      <c r="C233" s="37"/>
      <c r="D233" s="37"/>
      <c r="E233" s="37"/>
      <c r="F233" s="37"/>
      <c r="G233" s="37"/>
      <c r="H233" s="37"/>
      <c r="I233" s="37"/>
      <c r="J233" s="37"/>
      <c r="K233" s="37"/>
      <c r="L233" s="37"/>
      <c r="M233" s="37"/>
      <c r="N233" s="37"/>
      <c r="O233" s="37"/>
      <c r="P233" s="37"/>
      <c r="Q233" s="37"/>
      <c r="R233" s="37"/>
      <c r="S233" s="37"/>
      <c r="T233" s="37"/>
      <c r="U233" s="37"/>
      <c r="V233" s="37"/>
      <c r="W233" s="37"/>
      <c r="X233" s="37"/>
      <c r="Y233" s="37"/>
      <c r="Z233" s="37"/>
      <c r="AA233" s="37"/>
      <c r="AB233" s="37"/>
      <c r="AC233" s="37"/>
      <c r="AD233" s="37"/>
      <c r="AE233" s="37"/>
    </row>
    <row r="234" spans="1:31" x14ac:dyDescent="0.25">
      <c r="A234" s="37"/>
      <c r="B234" s="37"/>
      <c r="C234" s="37"/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  <c r="P234" s="37"/>
      <c r="Q234" s="37"/>
      <c r="R234" s="37"/>
      <c r="S234" s="37"/>
      <c r="T234" s="37"/>
      <c r="U234" s="37"/>
      <c r="V234" s="37"/>
      <c r="W234" s="37"/>
      <c r="X234" s="37"/>
      <c r="Y234" s="37"/>
      <c r="Z234" s="37"/>
      <c r="AA234" s="37"/>
      <c r="AB234" s="37"/>
      <c r="AC234" s="37"/>
      <c r="AD234" s="37"/>
      <c r="AE234" s="37"/>
    </row>
    <row r="235" spans="1:31" x14ac:dyDescent="0.25">
      <c r="A235" s="37"/>
      <c r="B235" s="37"/>
      <c r="C235" s="37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  <c r="P235" s="37"/>
      <c r="Q235" s="37"/>
      <c r="R235" s="37"/>
      <c r="S235" s="37"/>
      <c r="T235" s="37"/>
      <c r="U235" s="37"/>
      <c r="V235" s="37"/>
      <c r="W235" s="37"/>
      <c r="X235" s="37"/>
      <c r="Y235" s="37"/>
      <c r="Z235" s="37"/>
      <c r="AA235" s="37"/>
      <c r="AB235" s="37"/>
      <c r="AC235" s="37"/>
      <c r="AD235" s="37"/>
      <c r="AE235" s="37"/>
    </row>
    <row r="236" spans="1:31" x14ac:dyDescent="0.25">
      <c r="A236" s="37"/>
      <c r="B236" s="37"/>
      <c r="C236" s="37"/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  <c r="P236" s="37"/>
      <c r="Q236" s="37"/>
      <c r="R236" s="37"/>
      <c r="S236" s="37"/>
      <c r="T236" s="37"/>
      <c r="U236" s="37"/>
      <c r="V236" s="37"/>
      <c r="W236" s="37"/>
      <c r="X236" s="37"/>
      <c r="Y236" s="37"/>
      <c r="Z236" s="37"/>
      <c r="AA236" s="37"/>
      <c r="AB236" s="37"/>
      <c r="AC236" s="37"/>
      <c r="AD236" s="37"/>
      <c r="AE236" s="37"/>
    </row>
    <row r="237" spans="1:31" x14ac:dyDescent="0.25">
      <c r="A237" s="37"/>
      <c r="B237" s="37"/>
      <c r="C237" s="37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  <c r="P237" s="37"/>
      <c r="Q237" s="37"/>
      <c r="R237" s="37"/>
      <c r="S237" s="37"/>
      <c r="T237" s="37"/>
      <c r="U237" s="37"/>
      <c r="V237" s="37"/>
      <c r="W237" s="37"/>
      <c r="X237" s="37"/>
      <c r="Y237" s="37"/>
      <c r="Z237" s="37"/>
      <c r="AA237" s="37"/>
      <c r="AB237" s="37"/>
      <c r="AC237" s="37"/>
      <c r="AD237" s="37"/>
      <c r="AE237" s="37"/>
    </row>
    <row r="238" spans="1:31" x14ac:dyDescent="0.25">
      <c r="A238" s="37"/>
      <c r="B238" s="37"/>
      <c r="C238" s="37"/>
      <c r="D238" s="37"/>
      <c r="E238" s="37"/>
      <c r="F238" s="37"/>
      <c r="G238" s="37"/>
      <c r="H238" s="37"/>
      <c r="I238" s="37"/>
      <c r="J238" s="37"/>
      <c r="K238" s="37"/>
      <c r="L238" s="37"/>
      <c r="M238" s="37"/>
      <c r="N238" s="37"/>
      <c r="O238" s="37"/>
      <c r="P238" s="37"/>
      <c r="Q238" s="37"/>
      <c r="R238" s="37"/>
      <c r="S238" s="37"/>
      <c r="T238" s="37"/>
      <c r="U238" s="37"/>
      <c r="V238" s="37"/>
      <c r="W238" s="37"/>
      <c r="X238" s="37"/>
      <c r="Y238" s="37"/>
      <c r="Z238" s="37"/>
      <c r="AA238" s="37"/>
      <c r="AB238" s="37"/>
      <c r="AC238" s="37"/>
      <c r="AD238" s="37"/>
      <c r="AE238" s="37"/>
    </row>
    <row r="239" spans="1:31" x14ac:dyDescent="0.25">
      <c r="A239" s="37"/>
      <c r="B239" s="37"/>
      <c r="C239" s="37"/>
      <c r="D239" s="37"/>
      <c r="E239" s="37"/>
      <c r="F239" s="37"/>
      <c r="G239" s="37"/>
      <c r="H239" s="37"/>
      <c r="I239" s="37"/>
      <c r="J239" s="37"/>
      <c r="K239" s="37"/>
      <c r="L239" s="37"/>
      <c r="M239" s="37"/>
      <c r="N239" s="37"/>
      <c r="O239" s="37"/>
      <c r="P239" s="37"/>
      <c r="Q239" s="37"/>
      <c r="R239" s="37"/>
      <c r="S239" s="37"/>
      <c r="T239" s="37"/>
      <c r="U239" s="37"/>
      <c r="V239" s="37"/>
      <c r="W239" s="37"/>
      <c r="X239" s="37"/>
      <c r="Y239" s="37"/>
      <c r="Z239" s="37"/>
      <c r="AA239" s="37"/>
      <c r="AB239" s="37"/>
      <c r="AC239" s="37"/>
      <c r="AD239" s="37"/>
      <c r="AE239" s="37"/>
    </row>
    <row r="240" spans="1:31" x14ac:dyDescent="0.25">
      <c r="A240" s="37"/>
      <c r="B240" s="37"/>
      <c r="C240" s="37"/>
      <c r="D240" s="37"/>
      <c r="E240" s="37"/>
      <c r="F240" s="37"/>
      <c r="G240" s="37"/>
      <c r="H240" s="37"/>
      <c r="I240" s="37"/>
      <c r="J240" s="37"/>
      <c r="K240" s="37"/>
      <c r="L240" s="37"/>
      <c r="M240" s="37"/>
      <c r="N240" s="37"/>
      <c r="O240" s="37"/>
      <c r="P240" s="37"/>
      <c r="Q240" s="37"/>
      <c r="R240" s="37"/>
      <c r="S240" s="37"/>
      <c r="T240" s="37"/>
      <c r="U240" s="37"/>
      <c r="V240" s="37"/>
      <c r="W240" s="37"/>
      <c r="X240" s="37"/>
      <c r="Y240" s="37"/>
      <c r="Z240" s="37"/>
      <c r="AA240" s="37"/>
      <c r="AB240" s="37"/>
      <c r="AC240" s="37"/>
      <c r="AD240" s="37"/>
      <c r="AE240" s="37"/>
    </row>
    <row r="241" spans="1:31" x14ac:dyDescent="0.25">
      <c r="A241" s="37"/>
      <c r="B241" s="37"/>
      <c r="C241" s="37"/>
      <c r="D241" s="37"/>
      <c r="E241" s="37"/>
      <c r="F241" s="37"/>
      <c r="G241" s="37"/>
      <c r="H241" s="37"/>
      <c r="I241" s="37"/>
      <c r="J241" s="37"/>
      <c r="K241" s="37"/>
      <c r="L241" s="37"/>
      <c r="M241" s="37"/>
      <c r="N241" s="37"/>
      <c r="O241" s="37"/>
      <c r="P241" s="37"/>
      <c r="Q241" s="37"/>
      <c r="R241" s="37"/>
      <c r="S241" s="37"/>
      <c r="T241" s="37"/>
      <c r="U241" s="37"/>
      <c r="V241" s="37"/>
      <c r="W241" s="37"/>
      <c r="X241" s="37"/>
      <c r="Y241" s="37"/>
      <c r="Z241" s="37"/>
      <c r="AA241" s="37"/>
      <c r="AB241" s="37"/>
      <c r="AC241" s="37"/>
      <c r="AD241" s="37"/>
      <c r="AE241" s="37"/>
    </row>
    <row r="242" spans="1:31" x14ac:dyDescent="0.25">
      <c r="A242" s="37"/>
      <c r="B242" s="37"/>
      <c r="C242" s="37"/>
      <c r="D242" s="37"/>
      <c r="E242" s="37"/>
      <c r="F242" s="37"/>
      <c r="G242" s="37"/>
      <c r="H242" s="37"/>
      <c r="I242" s="37"/>
      <c r="J242" s="37"/>
      <c r="K242" s="37"/>
      <c r="L242" s="37"/>
      <c r="M242" s="37"/>
      <c r="N242" s="37"/>
      <c r="O242" s="37"/>
      <c r="P242" s="37"/>
      <c r="Q242" s="37"/>
      <c r="R242" s="37"/>
      <c r="S242" s="37"/>
      <c r="T242" s="37"/>
      <c r="U242" s="37"/>
      <c r="V242" s="37"/>
      <c r="W242" s="37"/>
      <c r="X242" s="37"/>
      <c r="Y242" s="37"/>
      <c r="Z242" s="37"/>
      <c r="AA242" s="37"/>
      <c r="AB242" s="37"/>
      <c r="AC242" s="37"/>
      <c r="AD242" s="37"/>
      <c r="AE242" s="37"/>
    </row>
    <row r="243" spans="1:31" x14ac:dyDescent="0.25">
      <c r="A243" s="37"/>
      <c r="B243" s="37"/>
      <c r="C243" s="37"/>
      <c r="D243" s="37"/>
      <c r="E243" s="37"/>
      <c r="F243" s="37"/>
      <c r="G243" s="37"/>
      <c r="H243" s="37"/>
      <c r="I243" s="37"/>
      <c r="J243" s="37"/>
      <c r="K243" s="37"/>
      <c r="L243" s="37"/>
      <c r="M243" s="37"/>
      <c r="N243" s="37"/>
      <c r="O243" s="37"/>
      <c r="P243" s="37"/>
      <c r="Q243" s="37"/>
      <c r="R243" s="37"/>
      <c r="S243" s="37"/>
      <c r="T243" s="37"/>
      <c r="U243" s="37"/>
      <c r="V243" s="37"/>
      <c r="W243" s="37"/>
      <c r="X243" s="37"/>
      <c r="Y243" s="37"/>
      <c r="Z243" s="37"/>
      <c r="AA243" s="37"/>
      <c r="AB243" s="37"/>
      <c r="AC243" s="37"/>
      <c r="AD243" s="37"/>
      <c r="AE243" s="37"/>
    </row>
    <row r="244" spans="1:31" x14ac:dyDescent="0.25">
      <c r="A244" s="37"/>
      <c r="B244" s="37"/>
      <c r="C244" s="37"/>
      <c r="D244" s="37"/>
      <c r="E244" s="37"/>
      <c r="F244" s="37"/>
      <c r="G244" s="37"/>
      <c r="H244" s="37"/>
      <c r="I244" s="37"/>
      <c r="J244" s="37"/>
      <c r="K244" s="37"/>
      <c r="L244" s="37"/>
      <c r="M244" s="37"/>
      <c r="N244" s="37"/>
      <c r="O244" s="37"/>
      <c r="P244" s="37"/>
      <c r="Q244" s="37"/>
      <c r="R244" s="37"/>
      <c r="S244" s="37"/>
      <c r="T244" s="37"/>
      <c r="U244" s="37"/>
      <c r="V244" s="37"/>
      <c r="W244" s="37"/>
      <c r="X244" s="37"/>
      <c r="Y244" s="37"/>
      <c r="Z244" s="37"/>
      <c r="AA244" s="37"/>
      <c r="AB244" s="37"/>
      <c r="AC244" s="37"/>
      <c r="AD244" s="37"/>
      <c r="AE244" s="37"/>
    </row>
    <row r="245" spans="1:31" x14ac:dyDescent="0.25">
      <c r="A245" s="37"/>
      <c r="B245" s="37"/>
      <c r="C245" s="37"/>
      <c r="D245" s="37"/>
      <c r="E245" s="37"/>
      <c r="F245" s="37"/>
      <c r="G245" s="37"/>
      <c r="H245" s="37"/>
      <c r="I245" s="37"/>
      <c r="J245" s="37"/>
      <c r="K245" s="37"/>
      <c r="L245" s="37"/>
      <c r="M245" s="37"/>
      <c r="N245" s="37"/>
      <c r="O245" s="37"/>
      <c r="P245" s="37"/>
      <c r="Q245" s="37"/>
      <c r="R245" s="37"/>
      <c r="S245" s="37"/>
      <c r="T245" s="37"/>
      <c r="U245" s="37"/>
      <c r="V245" s="37"/>
      <c r="W245" s="37"/>
      <c r="X245" s="37"/>
      <c r="Y245" s="37"/>
      <c r="Z245" s="37"/>
      <c r="AA245" s="37"/>
      <c r="AB245" s="37"/>
      <c r="AC245" s="37"/>
      <c r="AD245" s="37"/>
      <c r="AE245" s="37"/>
    </row>
    <row r="246" spans="1:31" x14ac:dyDescent="0.25">
      <c r="A246" s="37"/>
      <c r="B246" s="37"/>
      <c r="C246" s="37"/>
      <c r="D246" s="37"/>
      <c r="E246" s="37"/>
      <c r="F246" s="37"/>
      <c r="G246" s="37"/>
      <c r="H246" s="37"/>
      <c r="I246" s="37"/>
      <c r="J246" s="37"/>
      <c r="K246" s="37"/>
      <c r="L246" s="37"/>
      <c r="M246" s="37"/>
      <c r="N246" s="37"/>
      <c r="O246" s="37"/>
      <c r="P246" s="37"/>
      <c r="Q246" s="37"/>
      <c r="R246" s="37"/>
      <c r="S246" s="37"/>
      <c r="T246" s="37"/>
      <c r="U246" s="37"/>
      <c r="V246" s="37"/>
      <c r="W246" s="37"/>
      <c r="X246" s="37"/>
      <c r="Y246" s="37"/>
      <c r="Z246" s="37"/>
      <c r="AA246" s="37"/>
      <c r="AB246" s="37"/>
      <c r="AC246" s="37"/>
      <c r="AD246" s="37"/>
      <c r="AE246" s="37"/>
    </row>
    <row r="247" spans="1:31" x14ac:dyDescent="0.25">
      <c r="A247" s="37"/>
      <c r="B247" s="37"/>
      <c r="C247" s="37"/>
      <c r="D247" s="37"/>
      <c r="E247" s="37"/>
      <c r="F247" s="37"/>
      <c r="G247" s="37"/>
      <c r="H247" s="37"/>
      <c r="I247" s="37"/>
      <c r="J247" s="37"/>
      <c r="K247" s="37"/>
      <c r="L247" s="37"/>
      <c r="M247" s="37"/>
      <c r="N247" s="37"/>
      <c r="O247" s="37"/>
      <c r="P247" s="37"/>
      <c r="Q247" s="37"/>
      <c r="R247" s="37"/>
      <c r="S247" s="37"/>
      <c r="T247" s="37"/>
      <c r="U247" s="37"/>
      <c r="V247" s="37"/>
      <c r="W247" s="37"/>
      <c r="X247" s="37"/>
      <c r="Y247" s="37"/>
      <c r="Z247" s="37"/>
      <c r="AA247" s="37"/>
      <c r="AB247" s="37"/>
      <c r="AC247" s="37"/>
      <c r="AD247" s="37"/>
      <c r="AE247" s="37"/>
    </row>
    <row r="248" spans="1:31" x14ac:dyDescent="0.25">
      <c r="A248" s="37"/>
      <c r="B248" s="37"/>
      <c r="C248" s="37"/>
      <c r="D248" s="37"/>
      <c r="E248" s="37"/>
      <c r="F248" s="37"/>
      <c r="G248" s="37"/>
      <c r="H248" s="37"/>
      <c r="I248" s="37"/>
      <c r="J248" s="37"/>
      <c r="K248" s="37"/>
      <c r="L248" s="37"/>
      <c r="M248" s="37"/>
      <c r="N248" s="37"/>
      <c r="O248" s="37"/>
      <c r="P248" s="37"/>
      <c r="Q248" s="37"/>
      <c r="R248" s="37"/>
      <c r="S248" s="37"/>
      <c r="T248" s="37"/>
      <c r="U248" s="37"/>
      <c r="V248" s="37"/>
      <c r="W248" s="37"/>
      <c r="X248" s="37"/>
      <c r="Y248" s="37"/>
      <c r="Z248" s="37"/>
      <c r="AA248" s="37"/>
      <c r="AB248" s="37"/>
      <c r="AC248" s="37"/>
      <c r="AD248" s="37"/>
      <c r="AE248" s="37"/>
    </row>
    <row r="249" spans="1:31" x14ac:dyDescent="0.25">
      <c r="A249" s="37"/>
      <c r="B249" s="37"/>
      <c r="C249" s="37"/>
      <c r="D249" s="37"/>
      <c r="E249" s="37"/>
      <c r="F249" s="37"/>
      <c r="G249" s="37"/>
      <c r="H249" s="37"/>
      <c r="I249" s="37"/>
      <c r="J249" s="37"/>
      <c r="K249" s="37"/>
      <c r="L249" s="37"/>
      <c r="M249" s="37"/>
      <c r="N249" s="37"/>
      <c r="O249" s="37"/>
      <c r="P249" s="37"/>
      <c r="Q249" s="37"/>
      <c r="R249" s="37"/>
      <c r="S249" s="37"/>
      <c r="T249" s="37"/>
      <c r="U249" s="37"/>
      <c r="V249" s="37"/>
      <c r="W249" s="37"/>
      <c r="X249" s="37"/>
      <c r="Y249" s="37"/>
      <c r="Z249" s="37"/>
      <c r="AA249" s="37"/>
      <c r="AB249" s="37"/>
      <c r="AC249" s="37"/>
      <c r="AD249" s="37"/>
      <c r="AE249" s="37"/>
    </row>
    <row r="250" spans="1:31" x14ac:dyDescent="0.25">
      <c r="A250" s="37"/>
      <c r="B250" s="37"/>
      <c r="C250" s="37"/>
      <c r="D250" s="37"/>
      <c r="E250" s="37"/>
      <c r="F250" s="37"/>
      <c r="G250" s="37"/>
      <c r="H250" s="37"/>
      <c r="I250" s="37"/>
      <c r="J250" s="37"/>
      <c r="K250" s="37"/>
      <c r="L250" s="37"/>
      <c r="M250" s="37"/>
      <c r="N250" s="37"/>
      <c r="O250" s="37"/>
      <c r="P250" s="37"/>
      <c r="Q250" s="37"/>
      <c r="R250" s="37"/>
      <c r="S250" s="37"/>
      <c r="T250" s="37"/>
      <c r="U250" s="37"/>
      <c r="V250" s="37"/>
      <c r="W250" s="37"/>
      <c r="X250" s="37"/>
      <c r="Y250" s="37"/>
      <c r="Z250" s="37"/>
      <c r="AA250" s="37"/>
      <c r="AB250" s="37"/>
      <c r="AC250" s="37"/>
      <c r="AD250" s="37"/>
      <c r="AE250" s="37"/>
    </row>
    <row r="251" spans="1:31" x14ac:dyDescent="0.25">
      <c r="A251" s="37"/>
      <c r="B251" s="37"/>
      <c r="C251" s="37"/>
      <c r="D251" s="37"/>
      <c r="E251" s="37"/>
      <c r="F251" s="37"/>
      <c r="G251" s="37"/>
      <c r="H251" s="37"/>
      <c r="I251" s="37"/>
      <c r="J251" s="37"/>
      <c r="K251" s="37"/>
      <c r="L251" s="37"/>
      <c r="M251" s="37"/>
      <c r="N251" s="37"/>
      <c r="O251" s="37"/>
      <c r="P251" s="37"/>
      <c r="Q251" s="37"/>
      <c r="R251" s="37"/>
      <c r="S251" s="37"/>
      <c r="T251" s="37"/>
      <c r="U251" s="37"/>
      <c r="V251" s="37"/>
      <c r="W251" s="37"/>
      <c r="X251" s="37"/>
      <c r="Y251" s="37"/>
      <c r="Z251" s="37"/>
      <c r="AA251" s="37"/>
      <c r="AB251" s="37"/>
      <c r="AC251" s="37"/>
      <c r="AD251" s="37"/>
      <c r="AE251" s="37"/>
    </row>
    <row r="252" spans="1:31" x14ac:dyDescent="0.25">
      <c r="A252" s="37"/>
      <c r="B252" s="37"/>
      <c r="C252" s="37"/>
      <c r="D252" s="37"/>
      <c r="E252" s="37"/>
      <c r="F252" s="37"/>
      <c r="G252" s="37"/>
      <c r="H252" s="37"/>
      <c r="I252" s="37"/>
      <c r="J252" s="37"/>
      <c r="K252" s="37"/>
      <c r="L252" s="37"/>
      <c r="M252" s="37"/>
      <c r="N252" s="37"/>
      <c r="O252" s="37"/>
      <c r="P252" s="37"/>
      <c r="Q252" s="37"/>
      <c r="R252" s="37"/>
      <c r="S252" s="37"/>
      <c r="T252" s="37"/>
      <c r="U252" s="37"/>
      <c r="V252" s="37"/>
      <c r="W252" s="37"/>
      <c r="X252" s="37"/>
      <c r="Y252" s="37"/>
      <c r="Z252" s="37"/>
      <c r="AA252" s="37"/>
      <c r="AB252" s="37"/>
      <c r="AC252" s="37"/>
      <c r="AD252" s="37"/>
      <c r="AE252" s="37"/>
    </row>
    <row r="253" spans="1:31" x14ac:dyDescent="0.25">
      <c r="A253" s="37"/>
      <c r="B253" s="37"/>
      <c r="C253" s="37"/>
      <c r="D253" s="37"/>
      <c r="E253" s="37"/>
      <c r="F253" s="37"/>
      <c r="G253" s="37"/>
      <c r="H253" s="37"/>
      <c r="I253" s="37"/>
      <c r="J253" s="37"/>
      <c r="K253" s="37"/>
      <c r="L253" s="37"/>
      <c r="M253" s="37"/>
      <c r="N253" s="37"/>
      <c r="O253" s="37"/>
      <c r="P253" s="37"/>
      <c r="Q253" s="37"/>
      <c r="R253" s="37"/>
      <c r="S253" s="37"/>
      <c r="T253" s="37"/>
      <c r="U253" s="37"/>
      <c r="V253" s="37"/>
      <c r="W253" s="37"/>
      <c r="X253" s="37"/>
      <c r="Y253" s="37"/>
      <c r="Z253" s="37"/>
      <c r="AA253" s="37"/>
      <c r="AB253" s="37"/>
      <c r="AC253" s="37"/>
      <c r="AD253" s="37"/>
      <c r="AE253" s="37"/>
    </row>
    <row r="254" spans="1:31" x14ac:dyDescent="0.25">
      <c r="A254" s="37"/>
      <c r="B254" s="37"/>
      <c r="C254" s="37"/>
      <c r="D254" s="37"/>
      <c r="E254" s="37"/>
      <c r="F254" s="37"/>
      <c r="G254" s="37"/>
      <c r="H254" s="37"/>
      <c r="I254" s="37"/>
      <c r="J254" s="37"/>
      <c r="K254" s="37"/>
      <c r="L254" s="37"/>
      <c r="M254" s="37"/>
      <c r="N254" s="37"/>
      <c r="O254" s="37"/>
      <c r="P254" s="37"/>
      <c r="Q254" s="37"/>
      <c r="R254" s="37"/>
      <c r="S254" s="37"/>
      <c r="T254" s="37"/>
      <c r="U254" s="37"/>
      <c r="V254" s="37"/>
      <c r="W254" s="37"/>
      <c r="X254" s="37"/>
      <c r="Y254" s="37"/>
      <c r="Z254" s="37"/>
      <c r="AA254" s="37"/>
      <c r="AB254" s="37"/>
      <c r="AC254" s="37"/>
      <c r="AD254" s="37"/>
      <c r="AE254" s="37"/>
    </row>
    <row r="255" spans="1:31" x14ac:dyDescent="0.25">
      <c r="A255" s="37"/>
      <c r="B255" s="37"/>
      <c r="C255" s="37"/>
      <c r="D255" s="37"/>
      <c r="E255" s="37"/>
      <c r="F255" s="37"/>
      <c r="G255" s="37"/>
      <c r="H255" s="37"/>
      <c r="I255" s="37"/>
      <c r="J255" s="37"/>
      <c r="K255" s="37"/>
      <c r="L255" s="37"/>
      <c r="M255" s="37"/>
      <c r="N255" s="37"/>
      <c r="O255" s="37"/>
      <c r="P255" s="37"/>
      <c r="Q255" s="37"/>
      <c r="R255" s="37"/>
      <c r="S255" s="37"/>
      <c r="T255" s="37"/>
      <c r="U255" s="37"/>
      <c r="V255" s="37"/>
      <c r="W255" s="37"/>
      <c r="X255" s="37"/>
      <c r="Y255" s="37"/>
      <c r="Z255" s="37"/>
      <c r="AA255" s="37"/>
      <c r="AB255" s="37"/>
      <c r="AC255" s="37"/>
      <c r="AD255" s="37"/>
      <c r="AE255" s="37"/>
    </row>
    <row r="256" spans="1:31" x14ac:dyDescent="0.25">
      <c r="A256" s="37"/>
      <c r="B256" s="37"/>
      <c r="C256" s="37"/>
      <c r="D256" s="37"/>
      <c r="E256" s="37"/>
      <c r="F256" s="37"/>
      <c r="G256" s="37"/>
      <c r="H256" s="37"/>
      <c r="I256" s="37"/>
      <c r="J256" s="37"/>
      <c r="K256" s="37"/>
      <c r="L256" s="37"/>
      <c r="M256" s="37"/>
      <c r="N256" s="37"/>
      <c r="O256" s="37"/>
      <c r="P256" s="37"/>
      <c r="Q256" s="37"/>
      <c r="R256" s="37"/>
      <c r="S256" s="37"/>
      <c r="T256" s="37"/>
      <c r="U256" s="37"/>
      <c r="V256" s="37"/>
      <c r="W256" s="37"/>
      <c r="X256" s="37"/>
      <c r="Y256" s="37"/>
      <c r="Z256" s="37"/>
      <c r="AA256" s="37"/>
      <c r="AB256" s="37"/>
      <c r="AC256" s="37"/>
      <c r="AD256" s="37"/>
      <c r="AE256" s="37"/>
    </row>
    <row r="257" spans="1:31" x14ac:dyDescent="0.25">
      <c r="A257" s="37"/>
      <c r="B257" s="37"/>
      <c r="C257" s="37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7"/>
      <c r="Q257" s="37"/>
      <c r="R257" s="37"/>
      <c r="S257" s="37"/>
      <c r="T257" s="37"/>
      <c r="U257" s="37"/>
      <c r="V257" s="37"/>
      <c r="W257" s="37"/>
      <c r="X257" s="37"/>
      <c r="Y257" s="37"/>
      <c r="Z257" s="37"/>
      <c r="AA257" s="37"/>
      <c r="AB257" s="37"/>
      <c r="AC257" s="37"/>
      <c r="AD257" s="37"/>
      <c r="AE257" s="37"/>
    </row>
    <row r="258" spans="1:31" x14ac:dyDescent="0.25">
      <c r="A258" s="37"/>
      <c r="B258" s="37"/>
      <c r="C258" s="37"/>
      <c r="D258" s="37"/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  <c r="P258" s="37"/>
      <c r="Q258" s="37"/>
      <c r="R258" s="37"/>
      <c r="S258" s="37"/>
      <c r="T258" s="37"/>
      <c r="U258" s="37"/>
      <c r="V258" s="37"/>
      <c r="W258" s="37"/>
      <c r="X258" s="37"/>
      <c r="Y258" s="37"/>
      <c r="Z258" s="37"/>
      <c r="AA258" s="37"/>
      <c r="AB258" s="37"/>
      <c r="AC258" s="37"/>
      <c r="AD258" s="37"/>
      <c r="AE258" s="37"/>
    </row>
    <row r="259" spans="1:31" x14ac:dyDescent="0.25">
      <c r="A259" s="37"/>
      <c r="B259" s="37"/>
      <c r="C259" s="37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7"/>
      <c r="Q259" s="37"/>
      <c r="R259" s="37"/>
      <c r="S259" s="37"/>
      <c r="T259" s="37"/>
      <c r="U259" s="37"/>
      <c r="V259" s="37"/>
      <c r="W259" s="37"/>
      <c r="X259" s="37"/>
      <c r="Y259" s="37"/>
      <c r="Z259" s="37"/>
      <c r="AA259" s="37"/>
      <c r="AB259" s="37"/>
      <c r="AC259" s="37"/>
      <c r="AD259" s="37"/>
      <c r="AE259" s="37"/>
    </row>
    <row r="260" spans="1:31" x14ac:dyDescent="0.25">
      <c r="A260" s="37"/>
      <c r="B260" s="37"/>
      <c r="C260" s="37"/>
      <c r="D260" s="37"/>
      <c r="E260" s="37"/>
      <c r="F260" s="37"/>
      <c r="G260" s="37"/>
      <c r="H260" s="37"/>
      <c r="I260" s="37"/>
      <c r="J260" s="37"/>
      <c r="K260" s="37"/>
      <c r="L260" s="37"/>
      <c r="M260" s="37"/>
      <c r="N260" s="37"/>
      <c r="O260" s="37"/>
      <c r="P260" s="37"/>
      <c r="Q260" s="37"/>
      <c r="R260" s="37"/>
      <c r="S260" s="37"/>
      <c r="T260" s="37"/>
      <c r="U260" s="37"/>
      <c r="V260" s="37"/>
      <c r="W260" s="37"/>
      <c r="X260" s="37"/>
      <c r="Y260" s="37"/>
      <c r="Z260" s="37"/>
      <c r="AA260" s="37"/>
      <c r="AB260" s="37"/>
      <c r="AC260" s="37"/>
      <c r="AD260" s="37"/>
      <c r="AE260" s="37"/>
    </row>
    <row r="261" spans="1:31" x14ac:dyDescent="0.25">
      <c r="A261" s="37"/>
      <c r="B261" s="37"/>
      <c r="C261" s="37"/>
      <c r="D261" s="37"/>
      <c r="E261" s="37"/>
      <c r="F261" s="37"/>
      <c r="G261" s="37"/>
      <c r="H261" s="37"/>
      <c r="I261" s="37"/>
      <c r="J261" s="37"/>
      <c r="K261" s="37"/>
      <c r="L261" s="37"/>
      <c r="M261" s="37"/>
      <c r="N261" s="37"/>
      <c r="O261" s="37"/>
      <c r="P261" s="37"/>
      <c r="Q261" s="37"/>
      <c r="R261" s="37"/>
      <c r="S261" s="37"/>
      <c r="T261" s="37"/>
      <c r="U261" s="37"/>
      <c r="V261" s="37"/>
      <c r="W261" s="37"/>
      <c r="X261" s="37"/>
      <c r="Y261" s="37"/>
      <c r="Z261" s="37"/>
      <c r="AA261" s="37"/>
      <c r="AB261" s="37"/>
      <c r="AC261" s="37"/>
      <c r="AD261" s="37"/>
      <c r="AE261" s="37"/>
    </row>
    <row r="262" spans="1:31" x14ac:dyDescent="0.25">
      <c r="A262" s="37"/>
      <c r="B262" s="37"/>
      <c r="C262" s="37"/>
      <c r="D262" s="37"/>
      <c r="E262" s="37"/>
      <c r="F262" s="37"/>
      <c r="G262" s="37"/>
      <c r="H262" s="37"/>
      <c r="I262" s="37"/>
      <c r="J262" s="37"/>
      <c r="K262" s="37"/>
      <c r="L262" s="37"/>
      <c r="M262" s="37"/>
      <c r="N262" s="37"/>
      <c r="O262" s="37"/>
      <c r="P262" s="37"/>
      <c r="Q262" s="37"/>
      <c r="R262" s="37"/>
      <c r="S262" s="37"/>
      <c r="T262" s="37"/>
      <c r="U262" s="37"/>
      <c r="V262" s="37"/>
      <c r="W262" s="37"/>
      <c r="X262" s="37"/>
      <c r="Y262" s="37"/>
      <c r="Z262" s="37"/>
      <c r="AA262" s="37"/>
      <c r="AB262" s="37"/>
      <c r="AC262" s="37"/>
      <c r="AD262" s="37"/>
      <c r="AE262" s="37"/>
    </row>
    <row r="263" spans="1:31" x14ac:dyDescent="0.25">
      <c r="A263" s="37"/>
      <c r="B263" s="37"/>
      <c r="C263" s="37"/>
      <c r="D263" s="37"/>
      <c r="E263" s="37"/>
      <c r="F263" s="37"/>
      <c r="G263" s="37"/>
      <c r="H263" s="37"/>
      <c r="I263" s="37"/>
      <c r="J263" s="37"/>
      <c r="K263" s="37"/>
      <c r="L263" s="37"/>
      <c r="M263" s="37"/>
      <c r="N263" s="37"/>
      <c r="O263" s="37"/>
      <c r="P263" s="37"/>
      <c r="Q263" s="37"/>
      <c r="R263" s="37"/>
      <c r="S263" s="37"/>
      <c r="T263" s="37"/>
      <c r="U263" s="37"/>
      <c r="V263" s="37"/>
      <c r="W263" s="37"/>
      <c r="X263" s="37"/>
      <c r="Y263" s="37"/>
      <c r="Z263" s="37"/>
      <c r="AA263" s="37"/>
      <c r="AB263" s="37"/>
      <c r="AC263" s="37"/>
      <c r="AD263" s="37"/>
      <c r="AE263" s="37"/>
    </row>
    <row r="264" spans="1:31" x14ac:dyDescent="0.25">
      <c r="A264" s="37"/>
      <c r="B264" s="37"/>
      <c r="C264" s="37"/>
      <c r="D264" s="37"/>
      <c r="E264" s="37"/>
      <c r="F264" s="37"/>
      <c r="G264" s="37"/>
      <c r="H264" s="37"/>
      <c r="I264" s="37"/>
      <c r="J264" s="37"/>
      <c r="K264" s="37"/>
      <c r="L264" s="37"/>
      <c r="M264" s="37"/>
      <c r="N264" s="37"/>
      <c r="O264" s="37"/>
      <c r="P264" s="37"/>
      <c r="Q264" s="37"/>
      <c r="R264" s="37"/>
      <c r="S264" s="37"/>
      <c r="T264" s="37"/>
      <c r="U264" s="37"/>
      <c r="V264" s="37"/>
      <c r="W264" s="37"/>
      <c r="X264" s="37"/>
      <c r="Y264" s="37"/>
      <c r="Z264" s="37"/>
      <c r="AA264" s="37"/>
      <c r="AB264" s="37"/>
      <c r="AC264" s="37"/>
      <c r="AD264" s="37"/>
      <c r="AE264" s="37"/>
    </row>
    <row r="265" spans="1:31" x14ac:dyDescent="0.25">
      <c r="A265" s="37"/>
      <c r="B265" s="37"/>
      <c r="C265" s="37"/>
      <c r="D265" s="37"/>
      <c r="E265" s="37"/>
      <c r="F265" s="37"/>
      <c r="G265" s="37"/>
      <c r="H265" s="37"/>
      <c r="I265" s="37"/>
      <c r="J265" s="37"/>
      <c r="K265" s="37"/>
      <c r="L265" s="37"/>
      <c r="M265" s="37"/>
      <c r="N265" s="37"/>
      <c r="O265" s="37"/>
      <c r="P265" s="37"/>
      <c r="Q265" s="37"/>
      <c r="R265" s="37"/>
      <c r="S265" s="37"/>
      <c r="T265" s="37"/>
      <c r="U265" s="37"/>
      <c r="V265" s="37"/>
      <c r="W265" s="37"/>
      <c r="X265" s="37"/>
      <c r="Y265" s="37"/>
      <c r="Z265" s="37"/>
      <c r="AA265" s="37"/>
      <c r="AB265" s="37"/>
      <c r="AC265" s="37"/>
      <c r="AD265" s="37"/>
      <c r="AE265" s="37"/>
    </row>
    <row r="266" spans="1:31" x14ac:dyDescent="0.25">
      <c r="A266" s="37"/>
      <c r="B266" s="37"/>
      <c r="C266" s="37"/>
      <c r="D266" s="37"/>
      <c r="E266" s="37"/>
      <c r="F266" s="37"/>
      <c r="G266" s="37"/>
      <c r="H266" s="37"/>
      <c r="I266" s="37"/>
      <c r="J266" s="37"/>
      <c r="K266" s="37"/>
      <c r="L266" s="37"/>
      <c r="M266" s="37"/>
      <c r="N266" s="37"/>
      <c r="O266" s="37"/>
      <c r="P266" s="37"/>
      <c r="Q266" s="37"/>
      <c r="R266" s="37"/>
      <c r="S266" s="37"/>
      <c r="T266" s="37"/>
      <c r="U266" s="37"/>
      <c r="V266" s="37"/>
      <c r="W266" s="37"/>
      <c r="X266" s="37"/>
      <c r="Y266" s="37"/>
      <c r="Z266" s="37"/>
      <c r="AA266" s="37"/>
      <c r="AB266" s="37"/>
      <c r="AC266" s="37"/>
      <c r="AD266" s="37"/>
      <c r="AE266" s="37"/>
    </row>
    <row r="267" spans="1:31" x14ac:dyDescent="0.25">
      <c r="A267" s="37"/>
      <c r="B267" s="37"/>
      <c r="C267" s="37"/>
      <c r="D267" s="37"/>
      <c r="E267" s="37"/>
      <c r="F267" s="37"/>
      <c r="G267" s="37"/>
      <c r="H267" s="37"/>
      <c r="I267" s="37"/>
      <c r="J267" s="37"/>
      <c r="K267" s="37"/>
      <c r="L267" s="37"/>
      <c r="M267" s="37"/>
      <c r="N267" s="37"/>
      <c r="O267" s="37"/>
      <c r="P267" s="37"/>
      <c r="Q267" s="37"/>
      <c r="R267" s="37"/>
      <c r="S267" s="37"/>
      <c r="T267" s="37"/>
      <c r="U267" s="37"/>
      <c r="V267" s="37"/>
      <c r="W267" s="37"/>
      <c r="X267" s="37"/>
      <c r="Y267" s="37"/>
      <c r="Z267" s="37"/>
      <c r="AA267" s="37"/>
      <c r="AB267" s="37"/>
      <c r="AC267" s="37"/>
      <c r="AD267" s="37"/>
      <c r="AE267" s="37"/>
    </row>
    <row r="268" spans="1:31" x14ac:dyDescent="0.25">
      <c r="A268" s="37"/>
      <c r="B268" s="37"/>
      <c r="C268" s="37"/>
      <c r="D268" s="37"/>
      <c r="E268" s="37"/>
      <c r="F268" s="37"/>
      <c r="G268" s="37"/>
      <c r="H268" s="37"/>
      <c r="I268" s="37"/>
      <c r="J268" s="37"/>
      <c r="K268" s="37"/>
      <c r="L268" s="37"/>
      <c r="M268" s="37"/>
      <c r="N268" s="37"/>
      <c r="O268" s="37"/>
      <c r="P268" s="37"/>
      <c r="Q268" s="37"/>
      <c r="R268" s="37"/>
      <c r="S268" s="37"/>
      <c r="T268" s="37"/>
      <c r="U268" s="37"/>
      <c r="V268" s="37"/>
      <c r="W268" s="37"/>
      <c r="X268" s="37"/>
      <c r="Y268" s="37"/>
      <c r="Z268" s="37"/>
      <c r="AA268" s="37"/>
      <c r="AB268" s="37"/>
      <c r="AC268" s="37"/>
      <c r="AD268" s="37"/>
      <c r="AE268" s="37"/>
    </row>
    <row r="269" spans="1:31" x14ac:dyDescent="0.25">
      <c r="A269" s="37"/>
      <c r="B269" s="37"/>
      <c r="C269" s="37"/>
      <c r="D269" s="37"/>
      <c r="E269" s="37"/>
      <c r="F269" s="37"/>
      <c r="G269" s="37"/>
      <c r="H269" s="37"/>
      <c r="I269" s="37"/>
      <c r="J269" s="37"/>
      <c r="K269" s="37"/>
      <c r="L269" s="37"/>
      <c r="M269" s="37"/>
      <c r="N269" s="37"/>
      <c r="O269" s="37"/>
      <c r="P269" s="37"/>
      <c r="Q269" s="37"/>
      <c r="R269" s="37"/>
      <c r="S269" s="37"/>
      <c r="T269" s="37"/>
      <c r="U269" s="37"/>
      <c r="V269" s="37"/>
      <c r="W269" s="37"/>
      <c r="X269" s="37"/>
      <c r="Y269" s="37"/>
      <c r="Z269" s="37"/>
      <c r="AA269" s="37"/>
      <c r="AB269" s="37"/>
      <c r="AC269" s="37"/>
      <c r="AD269" s="37"/>
      <c r="AE269" s="37"/>
    </row>
    <row r="270" spans="1:31" x14ac:dyDescent="0.25">
      <c r="A270" s="37"/>
      <c r="B270" s="37"/>
      <c r="C270" s="37"/>
      <c r="D270" s="37"/>
      <c r="E270" s="37"/>
      <c r="F270" s="37"/>
      <c r="G270" s="37"/>
      <c r="H270" s="37"/>
      <c r="I270" s="37"/>
      <c r="J270" s="37"/>
      <c r="K270" s="37"/>
      <c r="L270" s="37"/>
      <c r="M270" s="37"/>
      <c r="N270" s="37"/>
      <c r="O270" s="37"/>
      <c r="P270" s="37"/>
      <c r="Q270" s="37"/>
      <c r="R270" s="37"/>
      <c r="S270" s="37"/>
      <c r="T270" s="37"/>
      <c r="U270" s="37"/>
      <c r="V270" s="37"/>
      <c r="W270" s="37"/>
      <c r="X270" s="37"/>
      <c r="Y270" s="37"/>
      <c r="Z270" s="37"/>
      <c r="AA270" s="37"/>
      <c r="AB270" s="37"/>
      <c r="AC270" s="37"/>
      <c r="AD270" s="37"/>
      <c r="AE270" s="37"/>
    </row>
    <row r="271" spans="1:31" x14ac:dyDescent="0.25">
      <c r="A271" s="37"/>
      <c r="B271" s="37"/>
      <c r="C271" s="37"/>
      <c r="D271" s="37"/>
      <c r="E271" s="37"/>
      <c r="F271" s="37"/>
      <c r="G271" s="37"/>
      <c r="H271" s="37"/>
      <c r="I271" s="37"/>
      <c r="J271" s="37"/>
      <c r="K271" s="37"/>
      <c r="L271" s="37"/>
      <c r="M271" s="37"/>
      <c r="N271" s="37"/>
      <c r="O271" s="37"/>
      <c r="P271" s="37"/>
      <c r="Q271" s="37"/>
      <c r="R271" s="37"/>
      <c r="S271" s="37"/>
      <c r="T271" s="37"/>
      <c r="U271" s="37"/>
      <c r="V271" s="37"/>
      <c r="W271" s="37"/>
      <c r="X271" s="37"/>
      <c r="Y271" s="37"/>
      <c r="Z271" s="37"/>
      <c r="AA271" s="37"/>
      <c r="AB271" s="37"/>
      <c r="AC271" s="37"/>
      <c r="AD271" s="37"/>
      <c r="AE271" s="37"/>
    </row>
    <row r="272" spans="1:31" x14ac:dyDescent="0.25">
      <c r="A272" s="37"/>
      <c r="B272" s="37"/>
      <c r="C272" s="37"/>
      <c r="D272" s="37"/>
      <c r="E272" s="37"/>
      <c r="F272" s="37"/>
      <c r="G272" s="37"/>
      <c r="H272" s="37"/>
      <c r="I272" s="37"/>
      <c r="J272" s="37"/>
      <c r="K272" s="37"/>
      <c r="L272" s="37"/>
      <c r="M272" s="37"/>
      <c r="N272" s="37"/>
      <c r="O272" s="37"/>
      <c r="P272" s="37"/>
      <c r="Q272" s="37"/>
      <c r="R272" s="37"/>
      <c r="S272" s="37"/>
      <c r="T272" s="37"/>
      <c r="U272" s="37"/>
      <c r="V272" s="37"/>
      <c r="W272" s="37"/>
      <c r="X272" s="37"/>
      <c r="Y272" s="37"/>
      <c r="Z272" s="37"/>
      <c r="AA272" s="37"/>
      <c r="AB272" s="37"/>
      <c r="AC272" s="37"/>
      <c r="AD272" s="37"/>
      <c r="AE272" s="37"/>
    </row>
    <row r="273" spans="1:31" x14ac:dyDescent="0.25">
      <c r="A273" s="37"/>
      <c r="B273" s="37"/>
      <c r="C273" s="37"/>
      <c r="D273" s="37"/>
      <c r="E273" s="37"/>
      <c r="F273" s="37"/>
      <c r="G273" s="37"/>
      <c r="H273" s="37"/>
      <c r="I273" s="37"/>
      <c r="J273" s="37"/>
      <c r="K273" s="37"/>
      <c r="L273" s="37"/>
      <c r="M273" s="37"/>
      <c r="N273" s="37"/>
      <c r="O273" s="37"/>
      <c r="P273" s="37"/>
      <c r="Q273" s="37"/>
      <c r="R273" s="37"/>
      <c r="S273" s="37"/>
      <c r="T273" s="37"/>
      <c r="U273" s="37"/>
      <c r="V273" s="37"/>
      <c r="W273" s="37"/>
      <c r="X273" s="37"/>
      <c r="Y273" s="37"/>
      <c r="Z273" s="37"/>
      <c r="AA273" s="37"/>
      <c r="AB273" s="37"/>
      <c r="AC273" s="37"/>
      <c r="AD273" s="37"/>
      <c r="AE273" s="37"/>
    </row>
    <row r="274" spans="1:31" x14ac:dyDescent="0.25">
      <c r="A274" s="37"/>
      <c r="B274" s="37"/>
      <c r="C274" s="37"/>
      <c r="D274" s="37"/>
      <c r="E274" s="37"/>
      <c r="F274" s="37"/>
      <c r="G274" s="37"/>
      <c r="H274" s="37"/>
      <c r="I274" s="37"/>
      <c r="J274" s="37"/>
      <c r="K274" s="37"/>
      <c r="L274" s="37"/>
      <c r="M274" s="37"/>
      <c r="N274" s="37"/>
      <c r="O274" s="37"/>
      <c r="P274" s="37"/>
      <c r="Q274" s="37"/>
      <c r="R274" s="37"/>
      <c r="S274" s="37"/>
      <c r="T274" s="37"/>
      <c r="U274" s="37"/>
      <c r="V274" s="37"/>
      <c r="W274" s="37"/>
      <c r="X274" s="37"/>
      <c r="Y274" s="37"/>
      <c r="Z274" s="37"/>
      <c r="AA274" s="37"/>
      <c r="AB274" s="37"/>
      <c r="AC274" s="37"/>
      <c r="AD274" s="37"/>
      <c r="AE274" s="37"/>
    </row>
    <row r="275" spans="1:31" x14ac:dyDescent="0.25">
      <c r="A275" s="37"/>
      <c r="B275" s="37"/>
      <c r="C275" s="37"/>
      <c r="D275" s="37"/>
      <c r="E275" s="37"/>
      <c r="F275" s="37"/>
      <c r="G275" s="37"/>
      <c r="H275" s="37"/>
      <c r="I275" s="37"/>
      <c r="J275" s="37"/>
      <c r="K275" s="37"/>
      <c r="L275" s="37"/>
      <c r="M275" s="37"/>
      <c r="N275" s="37"/>
      <c r="O275" s="37"/>
      <c r="P275" s="37"/>
      <c r="Q275" s="37"/>
      <c r="R275" s="37"/>
      <c r="S275" s="37"/>
      <c r="T275" s="37"/>
      <c r="U275" s="37"/>
      <c r="V275" s="37"/>
      <c r="W275" s="37"/>
      <c r="X275" s="37"/>
      <c r="Y275" s="37"/>
      <c r="Z275" s="37"/>
      <c r="AA275" s="37"/>
      <c r="AB275" s="37"/>
      <c r="AC275" s="37"/>
      <c r="AD275" s="37"/>
      <c r="AE275" s="37"/>
    </row>
    <row r="276" spans="1:31" x14ac:dyDescent="0.25">
      <c r="A276" s="37"/>
      <c r="B276" s="37"/>
      <c r="C276" s="37"/>
      <c r="D276" s="37"/>
      <c r="E276" s="37"/>
      <c r="F276" s="37"/>
      <c r="G276" s="37"/>
      <c r="H276" s="37"/>
      <c r="I276" s="37"/>
      <c r="J276" s="37"/>
      <c r="K276" s="37"/>
      <c r="L276" s="37"/>
      <c r="M276" s="37"/>
      <c r="N276" s="37"/>
      <c r="O276" s="37"/>
      <c r="P276" s="37"/>
      <c r="Q276" s="37"/>
      <c r="R276" s="37"/>
      <c r="S276" s="37"/>
      <c r="T276" s="37"/>
      <c r="U276" s="37"/>
      <c r="V276" s="37"/>
      <c r="W276" s="37"/>
      <c r="X276" s="37"/>
      <c r="Y276" s="37"/>
      <c r="Z276" s="37"/>
      <c r="AA276" s="37"/>
      <c r="AB276" s="37"/>
      <c r="AC276" s="37"/>
      <c r="AD276" s="37"/>
      <c r="AE276" s="37"/>
    </row>
    <row r="277" spans="1:31" x14ac:dyDescent="0.25">
      <c r="A277" s="37"/>
      <c r="B277" s="37"/>
      <c r="C277" s="37"/>
      <c r="D277" s="37"/>
      <c r="E277" s="37"/>
      <c r="F277" s="37"/>
      <c r="G277" s="37"/>
      <c r="H277" s="37"/>
      <c r="I277" s="37"/>
      <c r="J277" s="37"/>
      <c r="K277" s="37"/>
      <c r="L277" s="37"/>
      <c r="M277" s="37"/>
      <c r="N277" s="37"/>
      <c r="O277" s="37"/>
      <c r="P277" s="37"/>
      <c r="Q277" s="37"/>
      <c r="R277" s="37"/>
      <c r="S277" s="37"/>
      <c r="T277" s="37"/>
      <c r="U277" s="37"/>
      <c r="V277" s="37"/>
      <c r="W277" s="37"/>
      <c r="X277" s="37"/>
      <c r="Y277" s="37"/>
      <c r="Z277" s="37"/>
      <c r="AA277" s="37"/>
      <c r="AB277" s="37"/>
      <c r="AC277" s="37"/>
      <c r="AD277" s="37"/>
      <c r="AE277" s="37"/>
    </row>
    <row r="278" spans="1:31" x14ac:dyDescent="0.25">
      <c r="A278" s="37"/>
      <c r="B278" s="37"/>
      <c r="C278" s="37"/>
      <c r="D278" s="37"/>
      <c r="E278" s="37"/>
      <c r="F278" s="37"/>
      <c r="G278" s="37"/>
      <c r="H278" s="37"/>
      <c r="I278" s="37"/>
      <c r="J278" s="37"/>
      <c r="K278" s="37"/>
      <c r="L278" s="37"/>
      <c r="M278" s="37"/>
      <c r="N278" s="37"/>
      <c r="O278" s="37"/>
      <c r="P278" s="37"/>
      <c r="Q278" s="37"/>
      <c r="R278" s="37"/>
      <c r="S278" s="37"/>
      <c r="T278" s="37"/>
      <c r="U278" s="37"/>
      <c r="V278" s="37"/>
      <c r="W278" s="37"/>
      <c r="X278" s="37"/>
      <c r="Y278" s="37"/>
      <c r="Z278" s="37"/>
      <c r="AA278" s="37"/>
      <c r="AB278" s="37"/>
      <c r="AC278" s="37"/>
      <c r="AD278" s="37"/>
      <c r="AE278" s="37"/>
    </row>
    <row r="279" spans="1:31" x14ac:dyDescent="0.25">
      <c r="A279" s="37"/>
      <c r="B279" s="37"/>
      <c r="C279" s="37"/>
      <c r="D279" s="37"/>
      <c r="E279" s="37"/>
      <c r="F279" s="37"/>
      <c r="G279" s="37"/>
      <c r="H279" s="37"/>
      <c r="I279" s="37"/>
      <c r="J279" s="37"/>
      <c r="K279" s="37"/>
      <c r="L279" s="37"/>
      <c r="M279" s="37"/>
      <c r="N279" s="37"/>
      <c r="O279" s="37"/>
      <c r="P279" s="37"/>
      <c r="Q279" s="37"/>
      <c r="R279" s="37"/>
      <c r="S279" s="37"/>
      <c r="T279" s="37"/>
      <c r="U279" s="37"/>
      <c r="V279" s="37"/>
      <c r="W279" s="37"/>
      <c r="X279" s="37"/>
      <c r="Y279" s="37"/>
      <c r="Z279" s="37"/>
      <c r="AA279" s="37"/>
      <c r="AB279" s="37"/>
      <c r="AC279" s="37"/>
      <c r="AD279" s="37"/>
      <c r="AE279" s="37"/>
    </row>
    <row r="280" spans="1:31" x14ac:dyDescent="0.25">
      <c r="A280" s="37"/>
      <c r="B280" s="37"/>
      <c r="C280" s="37"/>
      <c r="D280" s="37"/>
      <c r="E280" s="37"/>
      <c r="F280" s="37"/>
      <c r="G280" s="37"/>
      <c r="H280" s="37"/>
      <c r="I280" s="37"/>
      <c r="J280" s="37"/>
      <c r="K280" s="37"/>
      <c r="L280" s="37"/>
      <c r="M280" s="37"/>
      <c r="N280" s="37"/>
      <c r="O280" s="37"/>
      <c r="P280" s="37"/>
      <c r="Q280" s="37"/>
      <c r="R280" s="37"/>
      <c r="S280" s="37"/>
      <c r="T280" s="37"/>
      <c r="U280" s="37"/>
      <c r="V280" s="37"/>
      <c r="W280" s="37"/>
      <c r="X280" s="37"/>
      <c r="Y280" s="37"/>
      <c r="Z280" s="37"/>
      <c r="AA280" s="37"/>
      <c r="AB280" s="37"/>
      <c r="AC280" s="37"/>
      <c r="AD280" s="37"/>
      <c r="AE280" s="37"/>
    </row>
    <row r="281" spans="1:31" x14ac:dyDescent="0.25">
      <c r="A281" s="37"/>
      <c r="B281" s="37"/>
      <c r="C281" s="37"/>
      <c r="D281" s="37"/>
      <c r="E281" s="37"/>
      <c r="F281" s="37"/>
      <c r="G281" s="37"/>
      <c r="H281" s="37"/>
      <c r="I281" s="37"/>
      <c r="J281" s="37"/>
      <c r="K281" s="37"/>
      <c r="L281" s="37"/>
      <c r="M281" s="37"/>
      <c r="N281" s="37"/>
      <c r="O281" s="37"/>
      <c r="P281" s="37"/>
      <c r="Q281" s="37"/>
      <c r="R281" s="37"/>
      <c r="S281" s="37"/>
      <c r="T281" s="37"/>
      <c r="U281" s="37"/>
      <c r="V281" s="37"/>
      <c r="W281" s="37"/>
      <c r="X281" s="37"/>
      <c r="Y281" s="37"/>
      <c r="Z281" s="37"/>
      <c r="AA281" s="37"/>
      <c r="AB281" s="37"/>
      <c r="AC281" s="37"/>
      <c r="AD281" s="37"/>
      <c r="AE281" s="37"/>
    </row>
    <row r="282" spans="1:31" x14ac:dyDescent="0.25">
      <c r="A282" s="37"/>
      <c r="B282" s="37"/>
      <c r="C282" s="37"/>
      <c r="D282" s="37"/>
      <c r="E282" s="37"/>
      <c r="F282" s="37"/>
      <c r="G282" s="37"/>
      <c r="H282" s="37"/>
      <c r="I282" s="37"/>
      <c r="J282" s="37"/>
      <c r="K282" s="37"/>
      <c r="L282" s="37"/>
      <c r="M282" s="37"/>
      <c r="N282" s="37"/>
      <c r="O282" s="37"/>
      <c r="P282" s="37"/>
      <c r="Q282" s="37"/>
      <c r="R282" s="37"/>
      <c r="S282" s="37"/>
      <c r="T282" s="37"/>
      <c r="U282" s="37"/>
      <c r="V282" s="37"/>
      <c r="W282" s="37"/>
      <c r="X282" s="37"/>
      <c r="Y282" s="37"/>
      <c r="Z282" s="37"/>
      <c r="AA282" s="37"/>
      <c r="AB282" s="37"/>
      <c r="AC282" s="37"/>
      <c r="AD282" s="37"/>
      <c r="AE282" s="37"/>
    </row>
    <row r="283" spans="1:31" x14ac:dyDescent="0.25">
      <c r="A283" s="37"/>
      <c r="B283" s="37"/>
      <c r="C283" s="37"/>
      <c r="D283" s="37"/>
      <c r="E283" s="37"/>
      <c r="F283" s="37"/>
      <c r="G283" s="37"/>
      <c r="H283" s="37"/>
      <c r="I283" s="37"/>
      <c r="J283" s="37"/>
      <c r="K283" s="37"/>
      <c r="L283" s="37"/>
      <c r="M283" s="37"/>
      <c r="N283" s="37"/>
      <c r="O283" s="37"/>
      <c r="P283" s="37"/>
      <c r="Q283" s="37"/>
      <c r="R283" s="37"/>
      <c r="S283" s="37"/>
      <c r="T283" s="37"/>
      <c r="U283" s="37"/>
      <c r="V283" s="37"/>
      <c r="W283" s="37"/>
      <c r="X283" s="37"/>
      <c r="Y283" s="37"/>
      <c r="Z283" s="37"/>
      <c r="AA283" s="37"/>
      <c r="AB283" s="37"/>
      <c r="AC283" s="37"/>
      <c r="AD283" s="37"/>
      <c r="AE283" s="37"/>
    </row>
    <row r="284" spans="1:31" x14ac:dyDescent="0.25">
      <c r="A284" s="37"/>
      <c r="B284" s="37"/>
      <c r="C284" s="37"/>
      <c r="D284" s="37"/>
      <c r="E284" s="37"/>
      <c r="F284" s="37"/>
      <c r="G284" s="37"/>
      <c r="H284" s="37"/>
      <c r="I284" s="37"/>
      <c r="J284" s="37"/>
      <c r="K284" s="37"/>
      <c r="L284" s="37"/>
      <c r="M284" s="37"/>
      <c r="N284" s="37"/>
      <c r="O284" s="37"/>
      <c r="P284" s="37"/>
      <c r="Q284" s="37"/>
      <c r="R284" s="37"/>
      <c r="S284" s="37"/>
      <c r="T284" s="37"/>
      <c r="U284" s="37"/>
      <c r="V284" s="37"/>
      <c r="W284" s="37"/>
      <c r="X284" s="37"/>
      <c r="Y284" s="37"/>
      <c r="Z284" s="37"/>
      <c r="AA284" s="37"/>
      <c r="AB284" s="37"/>
      <c r="AC284" s="37"/>
      <c r="AD284" s="37"/>
      <c r="AE284" s="37"/>
    </row>
    <row r="285" spans="1:31" x14ac:dyDescent="0.25">
      <c r="A285" s="37"/>
      <c r="B285" s="37"/>
      <c r="C285" s="37"/>
      <c r="D285" s="37"/>
      <c r="E285" s="37"/>
      <c r="F285" s="37"/>
      <c r="G285" s="37"/>
      <c r="H285" s="37"/>
      <c r="I285" s="37"/>
      <c r="J285" s="37"/>
      <c r="K285" s="37"/>
      <c r="L285" s="37"/>
      <c r="M285" s="37"/>
      <c r="N285" s="37"/>
      <c r="O285" s="37"/>
      <c r="P285" s="37"/>
      <c r="Q285" s="37"/>
      <c r="R285" s="37"/>
      <c r="S285" s="37"/>
      <c r="T285" s="37"/>
      <c r="U285" s="37"/>
      <c r="V285" s="37"/>
      <c r="W285" s="37"/>
      <c r="X285" s="37"/>
      <c r="Y285" s="37"/>
      <c r="Z285" s="37"/>
      <c r="AA285" s="37"/>
      <c r="AB285" s="37"/>
      <c r="AC285" s="37"/>
      <c r="AD285" s="37"/>
      <c r="AE285" s="37"/>
    </row>
    <row r="286" spans="1:31" x14ac:dyDescent="0.25">
      <c r="A286" s="37"/>
      <c r="B286" s="37"/>
      <c r="C286" s="37"/>
      <c r="D286" s="37"/>
      <c r="E286" s="37"/>
      <c r="F286" s="37"/>
      <c r="G286" s="37"/>
      <c r="H286" s="37"/>
      <c r="I286" s="37"/>
      <c r="J286" s="37"/>
      <c r="K286" s="37"/>
      <c r="L286" s="37"/>
      <c r="M286" s="37"/>
      <c r="N286" s="37"/>
      <c r="O286" s="37"/>
      <c r="P286" s="37"/>
      <c r="Q286" s="37"/>
      <c r="R286" s="37"/>
      <c r="S286" s="37"/>
      <c r="T286" s="37"/>
      <c r="U286" s="37"/>
      <c r="V286" s="37"/>
      <c r="W286" s="37"/>
      <c r="X286" s="37"/>
      <c r="Y286" s="37"/>
      <c r="Z286" s="37"/>
      <c r="AA286" s="37"/>
      <c r="AB286" s="37"/>
      <c r="AC286" s="37"/>
      <c r="AD286" s="37"/>
      <c r="AE286" s="37"/>
    </row>
    <row r="287" spans="1:31" x14ac:dyDescent="0.25">
      <c r="A287" s="37"/>
      <c r="B287" s="37"/>
      <c r="C287" s="37"/>
      <c r="D287" s="37"/>
      <c r="E287" s="37"/>
      <c r="F287" s="37"/>
      <c r="G287" s="37"/>
      <c r="H287" s="37"/>
      <c r="I287" s="37"/>
      <c r="J287" s="37"/>
      <c r="K287" s="37"/>
      <c r="L287" s="37"/>
      <c r="M287" s="37"/>
      <c r="N287" s="37"/>
      <c r="O287" s="37"/>
      <c r="P287" s="37"/>
      <c r="Q287" s="37"/>
      <c r="R287" s="37"/>
      <c r="S287" s="37"/>
      <c r="T287" s="37"/>
      <c r="U287" s="37"/>
      <c r="V287" s="37"/>
      <c r="W287" s="37"/>
      <c r="X287" s="37"/>
      <c r="Y287" s="37"/>
      <c r="Z287" s="37"/>
      <c r="AA287" s="37"/>
      <c r="AB287" s="37"/>
      <c r="AC287" s="37"/>
      <c r="AD287" s="37"/>
      <c r="AE287" s="37"/>
    </row>
    <row r="288" spans="1:31" x14ac:dyDescent="0.25">
      <c r="A288" s="37"/>
      <c r="B288" s="37"/>
      <c r="C288" s="37"/>
      <c r="D288" s="37"/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  <c r="P288" s="37"/>
      <c r="Q288" s="37"/>
      <c r="R288" s="37"/>
      <c r="S288" s="37"/>
      <c r="T288" s="37"/>
      <c r="U288" s="37"/>
      <c r="V288" s="37"/>
      <c r="W288" s="37"/>
      <c r="X288" s="37"/>
      <c r="Y288" s="37"/>
      <c r="Z288" s="37"/>
      <c r="AA288" s="37"/>
      <c r="AB288" s="37"/>
      <c r="AC288" s="37"/>
      <c r="AD288" s="37"/>
      <c r="AE288" s="37"/>
    </row>
    <row r="289" spans="1:31" x14ac:dyDescent="0.25">
      <c r="A289" s="37"/>
      <c r="B289" s="37"/>
      <c r="C289" s="37"/>
      <c r="D289" s="37"/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  <c r="P289" s="37"/>
      <c r="Q289" s="37"/>
      <c r="R289" s="37"/>
      <c r="S289" s="37"/>
      <c r="T289" s="37"/>
      <c r="U289" s="37"/>
      <c r="V289" s="37"/>
      <c r="W289" s="37"/>
      <c r="X289" s="37"/>
      <c r="Y289" s="37"/>
      <c r="Z289" s="37"/>
      <c r="AA289" s="37"/>
      <c r="AB289" s="37"/>
      <c r="AC289" s="37"/>
      <c r="AD289" s="37"/>
      <c r="AE289" s="37"/>
    </row>
    <row r="290" spans="1:31" x14ac:dyDescent="0.25">
      <c r="A290" s="37"/>
      <c r="B290" s="37"/>
      <c r="C290" s="37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  <c r="P290" s="37"/>
      <c r="Q290" s="37"/>
      <c r="R290" s="37"/>
      <c r="S290" s="37"/>
      <c r="T290" s="37"/>
      <c r="U290" s="37"/>
      <c r="V290" s="37"/>
      <c r="W290" s="37"/>
      <c r="X290" s="37"/>
      <c r="Y290" s="37"/>
      <c r="Z290" s="37"/>
      <c r="AA290" s="37"/>
      <c r="AB290" s="37"/>
      <c r="AC290" s="37"/>
      <c r="AD290" s="37"/>
      <c r="AE290" s="37"/>
    </row>
    <row r="291" spans="1:31" x14ac:dyDescent="0.25">
      <c r="A291" s="37"/>
      <c r="B291" s="37"/>
      <c r="C291" s="37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  <c r="P291" s="37"/>
      <c r="Q291" s="37"/>
      <c r="R291" s="37"/>
      <c r="S291" s="37"/>
      <c r="T291" s="37"/>
      <c r="U291" s="37"/>
      <c r="V291" s="37"/>
      <c r="W291" s="37"/>
      <c r="X291" s="37"/>
      <c r="Y291" s="37"/>
      <c r="Z291" s="37"/>
      <c r="AA291" s="37"/>
      <c r="AB291" s="37"/>
      <c r="AC291" s="37"/>
      <c r="AD291" s="37"/>
      <c r="AE291" s="37"/>
    </row>
    <row r="292" spans="1:31" x14ac:dyDescent="0.25">
      <c r="A292" s="37"/>
      <c r="B292" s="37"/>
      <c r="C292" s="37"/>
      <c r="D292" s="37"/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  <c r="P292" s="37"/>
      <c r="Q292" s="37"/>
      <c r="R292" s="37"/>
      <c r="S292" s="37"/>
      <c r="T292" s="37"/>
      <c r="U292" s="37"/>
      <c r="V292" s="37"/>
      <c r="W292" s="37"/>
      <c r="X292" s="37"/>
      <c r="Y292" s="37"/>
      <c r="Z292" s="37"/>
      <c r="AA292" s="37"/>
      <c r="AB292" s="37"/>
      <c r="AC292" s="37"/>
      <c r="AD292" s="37"/>
      <c r="AE292" s="37"/>
    </row>
    <row r="293" spans="1:31" x14ac:dyDescent="0.25">
      <c r="A293" s="37"/>
      <c r="B293" s="37"/>
      <c r="C293" s="37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  <c r="P293" s="37"/>
      <c r="Q293" s="37"/>
      <c r="R293" s="37"/>
      <c r="S293" s="37"/>
      <c r="T293" s="37"/>
      <c r="U293" s="37"/>
      <c r="V293" s="37"/>
      <c r="W293" s="37"/>
      <c r="X293" s="37"/>
      <c r="Y293" s="37"/>
      <c r="Z293" s="37"/>
      <c r="AA293" s="37"/>
      <c r="AB293" s="37"/>
      <c r="AC293" s="37"/>
      <c r="AD293" s="37"/>
      <c r="AE293" s="37"/>
    </row>
    <row r="294" spans="1:31" x14ac:dyDescent="0.25">
      <c r="A294" s="37"/>
      <c r="B294" s="37"/>
      <c r="C294" s="37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  <c r="Q294" s="37"/>
      <c r="R294" s="37"/>
      <c r="S294" s="37"/>
      <c r="T294" s="37"/>
      <c r="U294" s="37"/>
      <c r="V294" s="37"/>
      <c r="W294" s="37"/>
      <c r="X294" s="37"/>
      <c r="Y294" s="37"/>
      <c r="Z294" s="37"/>
      <c r="AA294" s="37"/>
      <c r="AB294" s="37"/>
      <c r="AC294" s="37"/>
      <c r="AD294" s="37"/>
      <c r="AE294" s="37"/>
    </row>
    <row r="295" spans="1:31" x14ac:dyDescent="0.25">
      <c r="A295" s="37"/>
      <c r="B295" s="37"/>
      <c r="C295" s="37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  <c r="Q295" s="37"/>
      <c r="R295" s="37"/>
      <c r="S295" s="37"/>
      <c r="T295" s="37"/>
      <c r="U295" s="37"/>
      <c r="V295" s="37"/>
      <c r="W295" s="37"/>
      <c r="X295" s="37"/>
      <c r="Y295" s="37"/>
      <c r="Z295" s="37"/>
      <c r="AA295" s="37"/>
      <c r="AB295" s="37"/>
      <c r="AC295" s="37"/>
      <c r="AD295" s="37"/>
      <c r="AE295" s="37"/>
    </row>
    <row r="296" spans="1:31" x14ac:dyDescent="0.25">
      <c r="A296" s="37"/>
      <c r="B296" s="37"/>
      <c r="C296" s="37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  <c r="Q296" s="37"/>
      <c r="R296" s="37"/>
      <c r="S296" s="37"/>
      <c r="T296" s="37"/>
      <c r="U296" s="37"/>
      <c r="V296" s="37"/>
      <c r="W296" s="37"/>
      <c r="X296" s="37"/>
      <c r="Y296" s="37"/>
      <c r="Z296" s="37"/>
      <c r="AA296" s="37"/>
      <c r="AB296" s="37"/>
      <c r="AC296" s="37"/>
      <c r="AD296" s="37"/>
      <c r="AE296" s="37"/>
    </row>
    <row r="297" spans="1:31" x14ac:dyDescent="0.25">
      <c r="A297" s="37"/>
      <c r="B297" s="37"/>
      <c r="C297" s="37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  <c r="Q297" s="37"/>
      <c r="R297" s="37"/>
      <c r="S297" s="37"/>
      <c r="T297" s="37"/>
      <c r="U297" s="37"/>
      <c r="V297" s="37"/>
      <c r="W297" s="37"/>
      <c r="X297" s="37"/>
      <c r="Y297" s="37"/>
      <c r="Z297" s="37"/>
      <c r="AA297" s="37"/>
      <c r="AB297" s="37"/>
      <c r="AC297" s="37"/>
      <c r="AD297" s="37"/>
      <c r="AE297" s="37"/>
    </row>
    <row r="298" spans="1:31" x14ac:dyDescent="0.25">
      <c r="A298" s="37"/>
      <c r="B298" s="37"/>
      <c r="C298" s="37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  <c r="Q298" s="37"/>
      <c r="R298" s="37"/>
      <c r="S298" s="37"/>
      <c r="T298" s="37"/>
      <c r="U298" s="37"/>
      <c r="V298" s="37"/>
      <c r="W298" s="37"/>
      <c r="X298" s="37"/>
      <c r="Y298" s="37"/>
      <c r="Z298" s="37"/>
      <c r="AA298" s="37"/>
      <c r="AB298" s="37"/>
      <c r="AC298" s="37"/>
      <c r="AD298" s="37"/>
      <c r="AE298" s="37"/>
    </row>
    <row r="299" spans="1:31" x14ac:dyDescent="0.25">
      <c r="A299" s="37"/>
      <c r="B299" s="37"/>
      <c r="C299" s="37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  <c r="Q299" s="37"/>
      <c r="R299" s="37"/>
      <c r="S299" s="37"/>
      <c r="T299" s="37"/>
      <c r="U299" s="37"/>
      <c r="V299" s="37"/>
      <c r="W299" s="37"/>
      <c r="X299" s="37"/>
      <c r="Y299" s="37"/>
      <c r="Z299" s="37"/>
      <c r="AA299" s="37"/>
      <c r="AB299" s="37"/>
      <c r="AC299" s="37"/>
      <c r="AD299" s="37"/>
      <c r="AE299" s="37"/>
    </row>
    <row r="300" spans="1:31" x14ac:dyDescent="0.25">
      <c r="A300" s="37"/>
      <c r="B300" s="37"/>
      <c r="C300" s="37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  <c r="Q300" s="37"/>
      <c r="R300" s="37"/>
      <c r="S300" s="37"/>
      <c r="T300" s="37"/>
      <c r="U300" s="37"/>
      <c r="V300" s="37"/>
      <c r="W300" s="37"/>
      <c r="X300" s="37"/>
      <c r="Y300" s="37"/>
      <c r="Z300" s="37"/>
      <c r="AA300" s="37"/>
      <c r="AB300" s="37"/>
      <c r="AC300" s="37"/>
      <c r="AD300" s="37"/>
      <c r="AE300" s="37"/>
    </row>
    <row r="301" spans="1:31" x14ac:dyDescent="0.25">
      <c r="A301" s="37"/>
      <c r="B301" s="37"/>
      <c r="C301" s="37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  <c r="Q301" s="37"/>
      <c r="R301" s="37"/>
      <c r="S301" s="37"/>
      <c r="T301" s="37"/>
      <c r="U301" s="37"/>
      <c r="V301" s="37"/>
      <c r="W301" s="37"/>
      <c r="X301" s="37"/>
      <c r="Y301" s="37"/>
      <c r="Z301" s="37"/>
      <c r="AA301" s="37"/>
      <c r="AB301" s="37"/>
      <c r="AC301" s="37"/>
      <c r="AD301" s="37"/>
      <c r="AE301" s="37"/>
    </row>
    <row r="302" spans="1:31" x14ac:dyDescent="0.25">
      <c r="A302" s="37"/>
      <c r="B302" s="37"/>
      <c r="C302" s="37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  <c r="Q302" s="37"/>
      <c r="R302" s="37"/>
      <c r="S302" s="37"/>
      <c r="T302" s="37"/>
      <c r="U302" s="37"/>
      <c r="V302" s="37"/>
      <c r="W302" s="37"/>
      <c r="X302" s="37"/>
      <c r="Y302" s="37"/>
      <c r="Z302" s="37"/>
      <c r="AA302" s="37"/>
      <c r="AB302" s="37"/>
      <c r="AC302" s="37"/>
      <c r="AD302" s="37"/>
      <c r="AE302" s="37"/>
    </row>
    <row r="303" spans="1:31" x14ac:dyDescent="0.25">
      <c r="A303" s="37"/>
      <c r="B303" s="37"/>
      <c r="C303" s="37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  <c r="Q303" s="37"/>
      <c r="R303" s="37"/>
      <c r="S303" s="37"/>
      <c r="T303" s="37"/>
      <c r="U303" s="37"/>
      <c r="V303" s="37"/>
      <c r="W303" s="37"/>
      <c r="X303" s="37"/>
      <c r="Y303" s="37"/>
      <c r="Z303" s="37"/>
      <c r="AA303" s="37"/>
      <c r="AB303" s="37"/>
      <c r="AC303" s="37"/>
      <c r="AD303" s="37"/>
      <c r="AE303" s="37"/>
    </row>
    <row r="304" spans="1:31" x14ac:dyDescent="0.25">
      <c r="A304" s="37"/>
      <c r="B304" s="37"/>
      <c r="C304" s="37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7"/>
      <c r="R304" s="37"/>
      <c r="S304" s="37"/>
      <c r="T304" s="37"/>
      <c r="U304" s="37"/>
      <c r="V304" s="37"/>
      <c r="W304" s="37"/>
      <c r="X304" s="37"/>
      <c r="Y304" s="37"/>
      <c r="Z304" s="37"/>
      <c r="AA304" s="37"/>
      <c r="AB304" s="37"/>
      <c r="AC304" s="37"/>
      <c r="AD304" s="37"/>
      <c r="AE304" s="37"/>
    </row>
    <row r="305" spans="1:31" x14ac:dyDescent="0.25">
      <c r="A305" s="37"/>
      <c r="B305" s="37"/>
      <c r="C305" s="37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  <c r="Q305" s="37"/>
      <c r="R305" s="37"/>
      <c r="S305" s="37"/>
      <c r="T305" s="37"/>
      <c r="U305" s="37"/>
      <c r="V305" s="37"/>
      <c r="W305" s="37"/>
      <c r="X305" s="37"/>
      <c r="Y305" s="37"/>
      <c r="Z305" s="37"/>
      <c r="AA305" s="37"/>
      <c r="AB305" s="37"/>
      <c r="AC305" s="37"/>
      <c r="AD305" s="37"/>
      <c r="AE305" s="37"/>
    </row>
    <row r="306" spans="1:31" x14ac:dyDescent="0.25">
      <c r="A306" s="37"/>
      <c r="B306" s="37"/>
      <c r="C306" s="37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7"/>
      <c r="R306" s="37"/>
      <c r="S306" s="37"/>
      <c r="T306" s="37"/>
      <c r="U306" s="37"/>
      <c r="V306" s="37"/>
      <c r="W306" s="37"/>
      <c r="X306" s="37"/>
      <c r="Y306" s="37"/>
      <c r="Z306" s="37"/>
      <c r="AA306" s="37"/>
      <c r="AB306" s="37"/>
      <c r="AC306" s="37"/>
      <c r="AD306" s="37"/>
      <c r="AE306" s="37"/>
    </row>
    <row r="307" spans="1:31" x14ac:dyDescent="0.25">
      <c r="A307" s="37"/>
      <c r="B307" s="37"/>
      <c r="C307" s="37"/>
      <c r="D307" s="37"/>
      <c r="E307" s="37"/>
      <c r="F307" s="37"/>
      <c r="G307" s="37"/>
      <c r="H307" s="37"/>
      <c r="I307" s="37"/>
      <c r="J307" s="37"/>
      <c r="K307" s="37"/>
      <c r="L307" s="37"/>
      <c r="M307" s="37"/>
      <c r="N307" s="37"/>
      <c r="O307" s="37"/>
      <c r="P307" s="37"/>
      <c r="Q307" s="37"/>
      <c r="R307" s="37"/>
      <c r="S307" s="37"/>
      <c r="T307" s="37"/>
      <c r="U307" s="37"/>
      <c r="V307" s="37"/>
      <c r="W307" s="37"/>
      <c r="X307" s="37"/>
      <c r="Y307" s="37"/>
      <c r="Z307" s="37"/>
      <c r="AA307" s="37"/>
      <c r="AB307" s="37"/>
      <c r="AC307" s="37"/>
      <c r="AD307" s="37"/>
      <c r="AE307" s="37"/>
    </row>
    <row r="308" spans="1:31" x14ac:dyDescent="0.25">
      <c r="A308" s="37"/>
      <c r="B308" s="37"/>
      <c r="C308" s="37"/>
      <c r="D308" s="37"/>
      <c r="E308" s="37"/>
      <c r="F308" s="37"/>
      <c r="G308" s="37"/>
      <c r="H308" s="37"/>
      <c r="I308" s="37"/>
      <c r="J308" s="37"/>
      <c r="K308" s="37"/>
      <c r="L308" s="37"/>
      <c r="M308" s="37"/>
      <c r="N308" s="37"/>
      <c r="O308" s="37"/>
      <c r="P308" s="37"/>
      <c r="Q308" s="37"/>
      <c r="R308" s="37"/>
      <c r="S308" s="37"/>
      <c r="T308" s="37"/>
      <c r="U308" s="37"/>
      <c r="V308" s="37"/>
      <c r="W308" s="37"/>
      <c r="X308" s="37"/>
      <c r="Y308" s="37"/>
      <c r="Z308" s="37"/>
      <c r="AA308" s="37"/>
      <c r="AB308" s="37"/>
      <c r="AC308" s="37"/>
      <c r="AD308" s="37"/>
      <c r="AE308" s="37"/>
    </row>
    <row r="309" spans="1:31" x14ac:dyDescent="0.25">
      <c r="A309" s="37"/>
      <c r="B309" s="37"/>
      <c r="C309" s="37"/>
      <c r="D309" s="37"/>
      <c r="E309" s="37"/>
      <c r="F309" s="37"/>
      <c r="G309" s="37"/>
      <c r="H309" s="37"/>
      <c r="I309" s="37"/>
      <c r="J309" s="37"/>
      <c r="K309" s="37"/>
      <c r="L309" s="37"/>
      <c r="M309" s="37"/>
      <c r="N309" s="37"/>
      <c r="O309" s="37"/>
      <c r="P309" s="37"/>
      <c r="Q309" s="37"/>
      <c r="R309" s="37"/>
      <c r="S309" s="37"/>
      <c r="T309" s="37"/>
      <c r="U309" s="37"/>
      <c r="V309" s="37"/>
      <c r="W309" s="37"/>
      <c r="X309" s="37"/>
      <c r="Y309" s="37"/>
      <c r="Z309" s="37"/>
      <c r="AA309" s="37"/>
      <c r="AB309" s="37"/>
      <c r="AC309" s="37"/>
      <c r="AD309" s="37"/>
      <c r="AE309" s="37"/>
    </row>
    <row r="310" spans="1:31" x14ac:dyDescent="0.25">
      <c r="A310" s="37"/>
      <c r="B310" s="37"/>
      <c r="C310" s="37"/>
      <c r="D310" s="37"/>
      <c r="E310" s="37"/>
      <c r="F310" s="37"/>
      <c r="G310" s="37"/>
      <c r="H310" s="37"/>
      <c r="I310" s="37"/>
      <c r="J310" s="37"/>
      <c r="K310" s="37"/>
      <c r="L310" s="37"/>
      <c r="M310" s="37"/>
      <c r="N310" s="37"/>
      <c r="O310" s="37"/>
      <c r="P310" s="37"/>
      <c r="Q310" s="37"/>
      <c r="R310" s="37"/>
      <c r="S310" s="37"/>
      <c r="T310" s="37"/>
      <c r="U310" s="37"/>
      <c r="V310" s="37"/>
      <c r="W310" s="37"/>
      <c r="X310" s="37"/>
      <c r="Y310" s="37"/>
      <c r="Z310" s="37"/>
      <c r="AA310" s="37"/>
      <c r="AB310" s="37"/>
      <c r="AC310" s="37"/>
      <c r="AD310" s="37"/>
      <c r="AE310" s="37"/>
    </row>
    <row r="311" spans="1:31" x14ac:dyDescent="0.25">
      <c r="A311" s="37"/>
      <c r="B311" s="37"/>
      <c r="C311" s="37"/>
      <c r="D311" s="37"/>
      <c r="E311" s="37"/>
      <c r="F311" s="37"/>
      <c r="G311" s="37"/>
      <c r="H311" s="37"/>
      <c r="I311" s="37"/>
      <c r="J311" s="37"/>
      <c r="K311" s="37"/>
      <c r="L311" s="37"/>
      <c r="M311" s="37"/>
      <c r="N311" s="37"/>
      <c r="O311" s="37"/>
      <c r="P311" s="37"/>
      <c r="Q311" s="37"/>
      <c r="R311" s="37"/>
      <c r="S311" s="37"/>
      <c r="T311" s="37"/>
      <c r="U311" s="37"/>
      <c r="V311" s="37"/>
      <c r="W311" s="37"/>
      <c r="X311" s="37"/>
      <c r="Y311" s="37"/>
      <c r="Z311" s="37"/>
      <c r="AA311" s="37"/>
      <c r="AB311" s="37"/>
      <c r="AC311" s="37"/>
      <c r="AD311" s="37"/>
      <c r="AE311" s="37"/>
    </row>
    <row r="312" spans="1:31" x14ac:dyDescent="0.25">
      <c r="A312" s="37"/>
      <c r="B312" s="37"/>
      <c r="C312" s="37"/>
      <c r="D312" s="37"/>
      <c r="E312" s="37"/>
      <c r="F312" s="37"/>
      <c r="G312" s="37"/>
      <c r="H312" s="37"/>
      <c r="I312" s="37"/>
      <c r="J312" s="37"/>
      <c r="K312" s="37"/>
      <c r="L312" s="37"/>
      <c r="M312" s="37"/>
      <c r="N312" s="37"/>
      <c r="O312" s="37"/>
      <c r="P312" s="37"/>
      <c r="Q312" s="37"/>
      <c r="R312" s="37"/>
      <c r="S312" s="37"/>
      <c r="T312" s="37"/>
      <c r="U312" s="37"/>
      <c r="V312" s="37"/>
      <c r="W312" s="37"/>
      <c r="X312" s="37"/>
      <c r="Y312" s="37"/>
      <c r="Z312" s="37"/>
      <c r="AA312" s="37"/>
      <c r="AB312" s="37"/>
      <c r="AC312" s="37"/>
      <c r="AD312" s="37"/>
      <c r="AE312" s="37"/>
    </row>
    <row r="313" spans="1:31" x14ac:dyDescent="0.25">
      <c r="A313" s="37"/>
      <c r="B313" s="37"/>
      <c r="C313" s="37"/>
      <c r="D313" s="37"/>
      <c r="E313" s="37"/>
      <c r="F313" s="37"/>
      <c r="G313" s="37"/>
      <c r="H313" s="37"/>
      <c r="I313" s="37"/>
      <c r="J313" s="37"/>
      <c r="K313" s="37"/>
      <c r="L313" s="37"/>
      <c r="M313" s="37"/>
      <c r="N313" s="37"/>
      <c r="O313" s="37"/>
      <c r="P313" s="37"/>
      <c r="Q313" s="37"/>
      <c r="R313" s="37"/>
      <c r="S313" s="37"/>
      <c r="T313" s="37"/>
      <c r="U313" s="37"/>
      <c r="V313" s="37"/>
      <c r="W313" s="37"/>
      <c r="X313" s="37"/>
      <c r="Y313" s="37"/>
      <c r="Z313" s="37"/>
      <c r="AA313" s="37"/>
      <c r="AB313" s="37"/>
      <c r="AC313" s="37"/>
      <c r="AD313" s="37"/>
      <c r="AE313" s="37"/>
    </row>
    <row r="314" spans="1:31" x14ac:dyDescent="0.25">
      <c r="A314" s="37"/>
      <c r="B314" s="37"/>
      <c r="C314" s="37"/>
      <c r="D314" s="37"/>
      <c r="E314" s="37"/>
      <c r="F314" s="37"/>
      <c r="G314" s="37"/>
      <c r="H314" s="37"/>
      <c r="I314" s="37"/>
      <c r="J314" s="37"/>
      <c r="K314" s="37"/>
      <c r="L314" s="37"/>
      <c r="M314" s="37"/>
      <c r="N314" s="37"/>
      <c r="O314" s="37"/>
      <c r="P314" s="37"/>
      <c r="Q314" s="37"/>
      <c r="R314" s="37"/>
      <c r="S314" s="37"/>
      <c r="T314" s="37"/>
      <c r="U314" s="37"/>
      <c r="V314" s="37"/>
      <c r="W314" s="37"/>
      <c r="X314" s="37"/>
      <c r="Y314" s="37"/>
      <c r="Z314" s="37"/>
      <c r="AA314" s="37"/>
      <c r="AB314" s="37"/>
      <c r="AC314" s="37"/>
      <c r="AD314" s="37"/>
      <c r="AE314" s="37"/>
    </row>
    <row r="315" spans="1:31" x14ac:dyDescent="0.25">
      <c r="A315" s="37"/>
      <c r="B315" s="37"/>
      <c r="C315" s="37"/>
      <c r="D315" s="37"/>
      <c r="E315" s="37"/>
      <c r="F315" s="37"/>
      <c r="G315" s="37"/>
      <c r="H315" s="37"/>
      <c r="I315" s="37"/>
      <c r="J315" s="37"/>
      <c r="K315" s="37"/>
      <c r="L315" s="37"/>
      <c r="M315" s="37"/>
      <c r="N315" s="37"/>
      <c r="O315" s="37"/>
      <c r="P315" s="37"/>
      <c r="Q315" s="37"/>
      <c r="R315" s="37"/>
      <c r="S315" s="37"/>
      <c r="T315" s="37"/>
      <c r="U315" s="37"/>
      <c r="V315" s="37"/>
      <c r="W315" s="37"/>
      <c r="X315" s="37"/>
      <c r="Y315" s="37"/>
      <c r="Z315" s="37"/>
      <c r="AA315" s="37"/>
      <c r="AB315" s="37"/>
      <c r="AC315" s="37"/>
      <c r="AD315" s="37"/>
      <c r="AE315" s="37"/>
    </row>
    <row r="316" spans="1:31" x14ac:dyDescent="0.25">
      <c r="A316" s="37"/>
      <c r="B316" s="37"/>
      <c r="C316" s="37"/>
      <c r="D316" s="37"/>
      <c r="E316" s="37"/>
      <c r="F316" s="37"/>
      <c r="G316" s="37"/>
      <c r="H316" s="37"/>
      <c r="I316" s="37"/>
      <c r="J316" s="37"/>
      <c r="K316" s="37"/>
      <c r="L316" s="37"/>
      <c r="M316" s="37"/>
      <c r="N316" s="37"/>
      <c r="O316" s="37"/>
      <c r="P316" s="37"/>
      <c r="Q316" s="37"/>
      <c r="R316" s="37"/>
      <c r="S316" s="37"/>
      <c r="T316" s="37"/>
      <c r="U316" s="37"/>
      <c r="V316" s="37"/>
      <c r="W316" s="37"/>
      <c r="X316" s="37"/>
      <c r="Y316" s="37"/>
      <c r="Z316" s="37"/>
      <c r="AA316" s="37"/>
      <c r="AB316" s="37"/>
      <c r="AC316" s="37"/>
      <c r="AD316" s="37"/>
      <c r="AE316" s="37"/>
    </row>
    <row r="317" spans="1:31" x14ac:dyDescent="0.25">
      <c r="A317" s="37"/>
      <c r="B317" s="37"/>
      <c r="C317" s="37"/>
      <c r="D317" s="37"/>
      <c r="E317" s="37"/>
      <c r="F317" s="37"/>
      <c r="G317" s="37"/>
      <c r="H317" s="37"/>
      <c r="I317" s="37"/>
      <c r="J317" s="37"/>
      <c r="K317" s="37"/>
      <c r="L317" s="37"/>
      <c r="M317" s="37"/>
      <c r="N317" s="37"/>
      <c r="O317" s="37"/>
      <c r="P317" s="37"/>
      <c r="Q317" s="37"/>
      <c r="R317" s="37"/>
      <c r="S317" s="37"/>
      <c r="T317" s="37"/>
      <c r="U317" s="37"/>
      <c r="V317" s="37"/>
      <c r="W317" s="37"/>
      <c r="X317" s="37"/>
      <c r="Y317" s="37"/>
      <c r="Z317" s="37"/>
      <c r="AA317" s="37"/>
      <c r="AB317" s="37"/>
      <c r="AC317" s="37"/>
      <c r="AD317" s="37"/>
      <c r="AE317" s="37"/>
    </row>
    <row r="318" spans="1:31" x14ac:dyDescent="0.25">
      <c r="A318" s="37"/>
      <c r="B318" s="37"/>
      <c r="C318" s="37"/>
      <c r="D318" s="37"/>
      <c r="E318" s="37"/>
      <c r="F318" s="37"/>
      <c r="G318" s="37"/>
      <c r="H318" s="37"/>
      <c r="I318" s="37"/>
      <c r="J318" s="37"/>
      <c r="K318" s="37"/>
      <c r="L318" s="37"/>
      <c r="M318" s="37"/>
      <c r="N318" s="37"/>
      <c r="O318" s="37"/>
      <c r="P318" s="37"/>
      <c r="Q318" s="37"/>
      <c r="R318" s="37"/>
      <c r="S318" s="37"/>
      <c r="T318" s="37"/>
      <c r="U318" s="37"/>
      <c r="V318" s="37"/>
      <c r="W318" s="37"/>
      <c r="X318" s="37"/>
      <c r="Y318" s="37"/>
      <c r="Z318" s="37"/>
      <c r="AA318" s="37"/>
      <c r="AB318" s="37"/>
      <c r="AC318" s="37"/>
      <c r="AD318" s="37"/>
      <c r="AE318" s="37"/>
    </row>
    <row r="319" spans="1:31" x14ac:dyDescent="0.25">
      <c r="A319" s="37"/>
      <c r="B319" s="37"/>
      <c r="C319" s="37"/>
      <c r="D319" s="37"/>
      <c r="E319" s="37"/>
      <c r="F319" s="37"/>
      <c r="G319" s="37"/>
      <c r="H319" s="37"/>
      <c r="I319" s="37"/>
      <c r="J319" s="37"/>
      <c r="K319" s="37"/>
      <c r="L319" s="37"/>
      <c r="M319" s="37"/>
      <c r="N319" s="37"/>
      <c r="O319" s="37"/>
      <c r="P319" s="37"/>
      <c r="Q319" s="37"/>
      <c r="R319" s="37"/>
      <c r="S319" s="37"/>
      <c r="T319" s="37"/>
      <c r="U319" s="37"/>
      <c r="V319" s="37"/>
      <c r="W319" s="37"/>
      <c r="X319" s="37"/>
      <c r="Y319" s="37"/>
      <c r="Z319" s="37"/>
      <c r="AA319" s="37"/>
      <c r="AB319" s="37"/>
      <c r="AC319" s="37"/>
      <c r="AD319" s="37"/>
      <c r="AE319" s="37"/>
    </row>
    <row r="320" spans="1:31" x14ac:dyDescent="0.25">
      <c r="A320" s="37"/>
      <c r="B320" s="37"/>
      <c r="C320" s="37"/>
      <c r="D320" s="37"/>
      <c r="E320" s="37"/>
      <c r="F320" s="37"/>
      <c r="G320" s="37"/>
      <c r="H320" s="37"/>
      <c r="I320" s="37"/>
      <c r="J320" s="37"/>
      <c r="K320" s="37"/>
      <c r="L320" s="37"/>
      <c r="M320" s="37"/>
      <c r="N320" s="37"/>
      <c r="O320" s="37"/>
      <c r="P320" s="37"/>
      <c r="Q320" s="37"/>
      <c r="R320" s="37"/>
      <c r="S320" s="37"/>
      <c r="T320" s="37"/>
      <c r="U320" s="37"/>
      <c r="V320" s="37"/>
      <c r="W320" s="37"/>
      <c r="X320" s="37"/>
      <c r="Y320" s="37"/>
      <c r="Z320" s="37"/>
      <c r="AA320" s="37"/>
      <c r="AB320" s="37"/>
      <c r="AC320" s="37"/>
      <c r="AD320" s="37"/>
      <c r="AE320" s="37"/>
    </row>
    <row r="321" spans="1:31" x14ac:dyDescent="0.25">
      <c r="A321" s="37"/>
      <c r="B321" s="37"/>
      <c r="C321" s="37"/>
      <c r="D321" s="37"/>
      <c r="E321" s="37"/>
      <c r="F321" s="37"/>
      <c r="G321" s="37"/>
      <c r="H321" s="37"/>
      <c r="I321" s="37"/>
      <c r="J321" s="37"/>
      <c r="K321" s="37"/>
      <c r="L321" s="37"/>
      <c r="M321" s="37"/>
      <c r="N321" s="37"/>
      <c r="O321" s="37"/>
      <c r="P321" s="37"/>
      <c r="Q321" s="37"/>
      <c r="R321" s="37"/>
      <c r="S321" s="37"/>
      <c r="T321" s="37"/>
      <c r="U321" s="37"/>
      <c r="V321" s="37"/>
      <c r="W321" s="37"/>
      <c r="X321" s="37"/>
      <c r="Y321" s="37"/>
      <c r="Z321" s="37"/>
      <c r="AA321" s="37"/>
      <c r="AB321" s="37"/>
      <c r="AC321" s="37"/>
      <c r="AD321" s="37"/>
      <c r="AE321" s="37"/>
    </row>
    <row r="322" spans="1:31" x14ac:dyDescent="0.25">
      <c r="A322" s="37"/>
      <c r="B322" s="37"/>
      <c r="C322" s="37"/>
      <c r="D322" s="37"/>
      <c r="E322" s="37"/>
      <c r="F322" s="37"/>
      <c r="G322" s="37"/>
      <c r="H322" s="37"/>
      <c r="I322" s="37"/>
      <c r="J322" s="37"/>
      <c r="K322" s="37"/>
      <c r="L322" s="37"/>
      <c r="M322" s="37"/>
      <c r="N322" s="37"/>
      <c r="O322" s="37"/>
      <c r="P322" s="37"/>
      <c r="Q322" s="37"/>
      <c r="R322" s="37"/>
      <c r="S322" s="37"/>
      <c r="T322" s="37"/>
      <c r="U322" s="37"/>
      <c r="V322" s="37"/>
      <c r="W322" s="37"/>
      <c r="X322" s="37"/>
      <c r="Y322" s="37"/>
      <c r="Z322" s="37"/>
      <c r="AA322" s="37"/>
      <c r="AB322" s="37"/>
      <c r="AC322" s="37"/>
      <c r="AD322" s="37"/>
      <c r="AE322" s="37"/>
    </row>
    <row r="323" spans="1:31" x14ac:dyDescent="0.25">
      <c r="A323" s="37"/>
      <c r="B323" s="37"/>
      <c r="C323" s="37"/>
      <c r="D323" s="37"/>
      <c r="E323" s="37"/>
      <c r="F323" s="37"/>
      <c r="G323" s="37"/>
      <c r="H323" s="37"/>
      <c r="I323" s="37"/>
      <c r="J323" s="37"/>
      <c r="K323" s="37"/>
      <c r="L323" s="37"/>
      <c r="M323" s="37"/>
      <c r="N323" s="37"/>
      <c r="O323" s="37"/>
      <c r="P323" s="37"/>
      <c r="Q323" s="37"/>
      <c r="R323" s="37"/>
      <c r="S323" s="37"/>
      <c r="T323" s="37"/>
      <c r="U323" s="37"/>
      <c r="V323" s="37"/>
      <c r="W323" s="37"/>
      <c r="X323" s="37"/>
      <c r="Y323" s="37"/>
      <c r="Z323" s="37"/>
      <c r="AA323" s="37"/>
      <c r="AB323" s="37"/>
      <c r="AC323" s="37"/>
      <c r="AD323" s="37"/>
      <c r="AE323" s="37"/>
    </row>
    <row r="324" spans="1:31" x14ac:dyDescent="0.25">
      <c r="A324" s="37"/>
      <c r="B324" s="37"/>
      <c r="C324" s="37"/>
      <c r="D324" s="37"/>
      <c r="E324" s="37"/>
      <c r="F324" s="37"/>
      <c r="G324" s="37"/>
      <c r="H324" s="37"/>
      <c r="I324" s="37"/>
      <c r="J324" s="37"/>
      <c r="K324" s="37"/>
      <c r="L324" s="37"/>
      <c r="M324" s="37"/>
      <c r="N324" s="37"/>
      <c r="O324" s="37"/>
      <c r="P324" s="37"/>
      <c r="Q324" s="37"/>
      <c r="R324" s="37"/>
      <c r="S324" s="37"/>
      <c r="T324" s="37"/>
      <c r="U324" s="37"/>
      <c r="V324" s="37"/>
      <c r="W324" s="37"/>
      <c r="X324" s="37"/>
      <c r="Y324" s="37"/>
      <c r="Z324" s="37"/>
      <c r="AA324" s="37"/>
      <c r="AB324" s="37"/>
      <c r="AC324" s="37"/>
      <c r="AD324" s="37"/>
      <c r="AE324" s="37"/>
    </row>
    <row r="325" spans="1:31" x14ac:dyDescent="0.25">
      <c r="A325" s="37"/>
      <c r="B325" s="37"/>
      <c r="C325" s="37"/>
      <c r="D325" s="37"/>
      <c r="E325" s="37"/>
      <c r="F325" s="37"/>
      <c r="G325" s="37"/>
      <c r="H325" s="37"/>
      <c r="I325" s="37"/>
      <c r="J325" s="37"/>
      <c r="K325" s="37"/>
      <c r="L325" s="37"/>
      <c r="M325" s="37"/>
      <c r="N325" s="37"/>
      <c r="O325" s="37"/>
      <c r="P325" s="37"/>
      <c r="Q325" s="37"/>
      <c r="R325" s="37"/>
      <c r="S325" s="37"/>
      <c r="T325" s="37"/>
      <c r="U325" s="37"/>
      <c r="V325" s="37"/>
      <c r="W325" s="37"/>
      <c r="X325" s="37"/>
      <c r="Y325" s="37"/>
      <c r="Z325" s="37"/>
      <c r="AA325" s="37"/>
      <c r="AB325" s="37"/>
      <c r="AC325" s="37"/>
      <c r="AD325" s="37"/>
      <c r="AE325" s="37"/>
    </row>
    <row r="326" spans="1:31" x14ac:dyDescent="0.25">
      <c r="A326" s="37"/>
      <c r="B326" s="37"/>
      <c r="C326" s="37"/>
      <c r="D326" s="37"/>
      <c r="E326" s="37"/>
      <c r="F326" s="37"/>
      <c r="G326" s="37"/>
      <c r="H326" s="37"/>
      <c r="I326" s="37"/>
      <c r="J326" s="37"/>
      <c r="K326" s="37"/>
      <c r="L326" s="37"/>
      <c r="M326" s="37"/>
      <c r="N326" s="37"/>
      <c r="O326" s="37"/>
      <c r="P326" s="37"/>
      <c r="Q326" s="37"/>
      <c r="R326" s="37"/>
      <c r="S326" s="37"/>
      <c r="T326" s="37"/>
      <c r="U326" s="37"/>
      <c r="V326" s="37"/>
      <c r="W326" s="37"/>
      <c r="X326" s="37"/>
      <c r="Y326" s="37"/>
      <c r="Z326" s="37"/>
      <c r="AA326" s="37"/>
      <c r="AB326" s="37"/>
      <c r="AC326" s="37"/>
      <c r="AD326" s="37"/>
      <c r="AE326" s="37"/>
    </row>
    <row r="327" spans="1:31" x14ac:dyDescent="0.25">
      <c r="A327" s="37"/>
      <c r="B327" s="37"/>
      <c r="C327" s="37"/>
      <c r="D327" s="37"/>
      <c r="E327" s="37"/>
      <c r="F327" s="37"/>
      <c r="G327" s="37"/>
      <c r="H327" s="37"/>
      <c r="I327" s="37"/>
      <c r="J327" s="37"/>
      <c r="K327" s="37"/>
      <c r="L327" s="37"/>
      <c r="M327" s="37"/>
      <c r="N327" s="37"/>
      <c r="O327" s="37"/>
      <c r="P327" s="37"/>
      <c r="Q327" s="37"/>
      <c r="R327" s="37"/>
      <c r="S327" s="37"/>
      <c r="T327" s="37"/>
      <c r="U327" s="37"/>
      <c r="V327" s="37"/>
      <c r="W327" s="37"/>
      <c r="X327" s="37"/>
      <c r="Y327" s="37"/>
      <c r="Z327" s="37"/>
      <c r="AA327" s="37"/>
      <c r="AB327" s="37"/>
      <c r="AC327" s="37"/>
      <c r="AD327" s="37"/>
      <c r="AE327" s="37"/>
    </row>
    <row r="328" spans="1:31" x14ac:dyDescent="0.25">
      <c r="A328" s="37"/>
      <c r="B328" s="37"/>
      <c r="C328" s="37"/>
      <c r="D328" s="37"/>
      <c r="E328" s="37"/>
      <c r="F328" s="37"/>
      <c r="G328" s="37"/>
      <c r="H328" s="37"/>
      <c r="I328" s="37"/>
      <c r="J328" s="37"/>
      <c r="K328" s="37"/>
      <c r="L328" s="37"/>
      <c r="M328" s="37"/>
      <c r="N328" s="37"/>
      <c r="O328" s="37"/>
      <c r="P328" s="37"/>
      <c r="Q328" s="37"/>
      <c r="R328" s="37"/>
      <c r="S328" s="37"/>
      <c r="T328" s="37"/>
      <c r="U328" s="37"/>
      <c r="V328" s="37"/>
      <c r="W328" s="37"/>
      <c r="X328" s="37"/>
      <c r="Y328" s="37"/>
      <c r="Z328" s="37"/>
      <c r="AA328" s="37"/>
      <c r="AB328" s="37"/>
      <c r="AC328" s="37"/>
      <c r="AD328" s="37"/>
      <c r="AE328" s="37"/>
    </row>
    <row r="329" spans="1:31" x14ac:dyDescent="0.25">
      <c r="A329" s="37"/>
      <c r="B329" s="37"/>
      <c r="C329" s="37"/>
      <c r="D329" s="37"/>
      <c r="E329" s="37"/>
      <c r="F329" s="37"/>
      <c r="G329" s="37"/>
      <c r="H329" s="37"/>
      <c r="I329" s="37"/>
      <c r="J329" s="37"/>
      <c r="K329" s="37"/>
      <c r="L329" s="37"/>
      <c r="M329" s="37"/>
      <c r="N329" s="37"/>
      <c r="O329" s="37"/>
      <c r="P329" s="37"/>
      <c r="Q329" s="37"/>
      <c r="R329" s="37"/>
      <c r="S329" s="37"/>
      <c r="T329" s="37"/>
      <c r="U329" s="37"/>
      <c r="V329" s="37"/>
      <c r="W329" s="37"/>
      <c r="X329" s="37"/>
      <c r="Y329" s="37"/>
      <c r="Z329" s="37"/>
      <c r="AA329" s="37"/>
      <c r="AB329" s="37"/>
      <c r="AC329" s="37"/>
      <c r="AD329" s="37"/>
      <c r="AE329" s="37"/>
    </row>
    <row r="330" spans="1:31" x14ac:dyDescent="0.25">
      <c r="A330" s="37"/>
      <c r="B330" s="37"/>
      <c r="C330" s="37"/>
      <c r="D330" s="37"/>
      <c r="E330" s="37"/>
      <c r="F330" s="37"/>
      <c r="G330" s="37"/>
      <c r="H330" s="37"/>
      <c r="I330" s="37"/>
      <c r="J330" s="37"/>
      <c r="K330" s="37"/>
      <c r="L330" s="37"/>
      <c r="M330" s="37"/>
      <c r="N330" s="37"/>
      <c r="O330" s="37"/>
      <c r="P330" s="37"/>
      <c r="Q330" s="37"/>
      <c r="R330" s="37"/>
      <c r="S330" s="37"/>
      <c r="T330" s="37"/>
      <c r="U330" s="37"/>
      <c r="V330" s="37"/>
      <c r="W330" s="37"/>
      <c r="X330" s="37"/>
      <c r="Y330" s="37"/>
      <c r="Z330" s="37"/>
      <c r="AA330" s="37"/>
      <c r="AB330" s="37"/>
      <c r="AC330" s="37"/>
      <c r="AD330" s="37"/>
      <c r="AE330" s="37"/>
    </row>
    <row r="331" spans="1:31" x14ac:dyDescent="0.25">
      <c r="A331" s="37"/>
      <c r="B331" s="37"/>
      <c r="C331" s="37"/>
      <c r="D331" s="37"/>
      <c r="E331" s="37"/>
      <c r="F331" s="37"/>
      <c r="G331" s="37"/>
      <c r="H331" s="37"/>
      <c r="I331" s="37"/>
      <c r="J331" s="37"/>
      <c r="K331" s="37"/>
      <c r="L331" s="37"/>
      <c r="M331" s="37"/>
      <c r="N331" s="37"/>
      <c r="O331" s="37"/>
      <c r="P331" s="37"/>
      <c r="Q331" s="37"/>
      <c r="R331" s="37"/>
      <c r="S331" s="37"/>
      <c r="T331" s="37"/>
      <c r="U331" s="37"/>
      <c r="V331" s="37"/>
      <c r="W331" s="37"/>
      <c r="X331" s="37"/>
      <c r="Y331" s="37"/>
      <c r="Z331" s="37"/>
      <c r="AA331" s="37"/>
      <c r="AB331" s="37"/>
      <c r="AC331" s="37"/>
      <c r="AD331" s="37"/>
      <c r="AE331" s="37"/>
    </row>
    <row r="332" spans="1:31" x14ac:dyDescent="0.25">
      <c r="A332" s="37"/>
      <c r="B332" s="37"/>
      <c r="C332" s="37"/>
      <c r="D332" s="37"/>
      <c r="E332" s="37"/>
      <c r="F332" s="37"/>
      <c r="G332" s="37"/>
      <c r="H332" s="37"/>
      <c r="I332" s="37"/>
      <c r="J332" s="37"/>
      <c r="K332" s="37"/>
      <c r="L332" s="37"/>
      <c r="M332" s="37"/>
      <c r="N332" s="37"/>
      <c r="O332" s="37"/>
      <c r="P332" s="37"/>
      <c r="Q332" s="37"/>
      <c r="R332" s="37"/>
      <c r="S332" s="37"/>
      <c r="T332" s="37"/>
      <c r="U332" s="37"/>
      <c r="V332" s="37"/>
      <c r="W332" s="37"/>
      <c r="X332" s="37"/>
      <c r="Y332" s="37"/>
      <c r="Z332" s="37"/>
      <c r="AA332" s="37"/>
      <c r="AB332" s="37"/>
      <c r="AC332" s="37"/>
      <c r="AD332" s="37"/>
      <c r="AE332" s="37"/>
    </row>
    <row r="333" spans="1:31" x14ac:dyDescent="0.25">
      <c r="A333" s="37"/>
      <c r="B333" s="37"/>
      <c r="C333" s="37"/>
      <c r="D333" s="37"/>
      <c r="E333" s="37"/>
      <c r="F333" s="37"/>
      <c r="G333" s="37"/>
      <c r="H333" s="37"/>
      <c r="I333" s="37"/>
      <c r="J333" s="37"/>
      <c r="K333" s="37"/>
      <c r="L333" s="37"/>
      <c r="M333" s="37"/>
      <c r="N333" s="37"/>
      <c r="O333" s="37"/>
      <c r="P333" s="37"/>
      <c r="Q333" s="37"/>
      <c r="R333" s="37"/>
      <c r="S333" s="37"/>
      <c r="T333" s="37"/>
      <c r="U333" s="37"/>
      <c r="V333" s="37"/>
      <c r="W333" s="37"/>
      <c r="X333" s="37"/>
      <c r="Y333" s="37"/>
      <c r="Z333" s="37"/>
      <c r="AA333" s="37"/>
      <c r="AB333" s="37"/>
      <c r="AC333" s="37"/>
      <c r="AD333" s="37"/>
      <c r="AE333" s="37"/>
    </row>
    <row r="334" spans="1:31" x14ac:dyDescent="0.25">
      <c r="A334" s="37"/>
      <c r="B334" s="37"/>
      <c r="C334" s="37"/>
      <c r="D334" s="37"/>
      <c r="E334" s="37"/>
      <c r="F334" s="37"/>
      <c r="G334" s="37"/>
      <c r="H334" s="37"/>
      <c r="I334" s="37"/>
      <c r="J334" s="37"/>
      <c r="K334" s="37"/>
      <c r="L334" s="37"/>
      <c r="M334" s="37"/>
      <c r="N334" s="37"/>
      <c r="O334" s="37"/>
      <c r="P334" s="37"/>
      <c r="Q334" s="37"/>
      <c r="R334" s="37"/>
      <c r="S334" s="37"/>
      <c r="T334" s="37"/>
      <c r="U334" s="37"/>
      <c r="V334" s="37"/>
      <c r="W334" s="37"/>
      <c r="X334" s="37"/>
      <c r="Y334" s="37"/>
      <c r="Z334" s="37"/>
      <c r="AA334" s="37"/>
      <c r="AB334" s="37"/>
      <c r="AC334" s="37"/>
      <c r="AD334" s="37"/>
      <c r="AE334" s="37"/>
    </row>
    <row r="335" spans="1:31" x14ac:dyDescent="0.25">
      <c r="A335" s="37"/>
      <c r="B335" s="37"/>
      <c r="C335" s="37"/>
      <c r="D335" s="37"/>
      <c r="E335" s="37"/>
      <c r="F335" s="37"/>
      <c r="G335" s="37"/>
      <c r="H335" s="37"/>
      <c r="I335" s="37"/>
      <c r="J335" s="37"/>
      <c r="K335" s="37"/>
      <c r="L335" s="37"/>
      <c r="M335" s="37"/>
      <c r="N335" s="37"/>
      <c r="O335" s="37"/>
      <c r="P335" s="37"/>
      <c r="Q335" s="37"/>
      <c r="R335" s="37"/>
      <c r="S335" s="37"/>
      <c r="T335" s="37"/>
      <c r="U335" s="37"/>
      <c r="V335" s="37"/>
      <c r="W335" s="37"/>
      <c r="X335" s="37"/>
      <c r="Y335" s="37"/>
      <c r="Z335" s="37"/>
      <c r="AA335" s="37"/>
      <c r="AB335" s="37"/>
      <c r="AC335" s="37"/>
      <c r="AD335" s="37"/>
      <c r="AE335" s="37"/>
    </row>
    <row r="336" spans="1:31" x14ac:dyDescent="0.25">
      <c r="A336" s="37"/>
      <c r="B336" s="37"/>
      <c r="C336" s="37"/>
      <c r="D336" s="37"/>
      <c r="E336" s="37"/>
      <c r="F336" s="37"/>
      <c r="G336" s="37"/>
      <c r="H336" s="37"/>
      <c r="I336" s="37"/>
      <c r="J336" s="37"/>
      <c r="K336" s="37"/>
      <c r="L336" s="37"/>
      <c r="M336" s="37"/>
      <c r="N336" s="37"/>
      <c r="O336" s="37"/>
      <c r="P336" s="37"/>
      <c r="Q336" s="37"/>
      <c r="R336" s="37"/>
      <c r="S336" s="37"/>
      <c r="T336" s="37"/>
      <c r="U336" s="37"/>
      <c r="V336" s="37"/>
      <c r="W336" s="37"/>
      <c r="X336" s="37"/>
      <c r="Y336" s="37"/>
      <c r="Z336" s="37"/>
      <c r="AA336" s="37"/>
      <c r="AB336" s="37"/>
      <c r="AC336" s="37"/>
      <c r="AD336" s="37"/>
      <c r="AE336" s="37"/>
    </row>
    <row r="337" spans="1:31" x14ac:dyDescent="0.25">
      <c r="A337" s="37"/>
      <c r="B337" s="37"/>
      <c r="C337" s="37"/>
      <c r="D337" s="37"/>
      <c r="E337" s="37"/>
      <c r="F337" s="37"/>
      <c r="G337" s="37"/>
      <c r="H337" s="37"/>
      <c r="I337" s="37"/>
      <c r="J337" s="37"/>
      <c r="K337" s="37"/>
      <c r="L337" s="37"/>
      <c r="M337" s="37"/>
      <c r="N337" s="37"/>
      <c r="O337" s="37"/>
      <c r="P337" s="37"/>
      <c r="Q337" s="37"/>
      <c r="R337" s="37"/>
      <c r="S337" s="37"/>
      <c r="T337" s="37"/>
      <c r="U337" s="37"/>
      <c r="V337" s="37"/>
      <c r="W337" s="37"/>
      <c r="X337" s="37"/>
      <c r="Y337" s="37"/>
      <c r="Z337" s="37"/>
      <c r="AA337" s="37"/>
      <c r="AB337" s="37"/>
      <c r="AC337" s="37"/>
      <c r="AD337" s="37"/>
      <c r="AE337" s="37"/>
    </row>
    <row r="338" spans="1:31" x14ac:dyDescent="0.25">
      <c r="A338" s="37"/>
      <c r="B338" s="37"/>
      <c r="C338" s="37"/>
      <c r="D338" s="37"/>
      <c r="E338" s="37"/>
      <c r="F338" s="37"/>
      <c r="G338" s="37"/>
      <c r="H338" s="37"/>
      <c r="I338" s="37"/>
      <c r="J338" s="37"/>
      <c r="K338" s="37"/>
      <c r="L338" s="37"/>
      <c r="M338" s="37"/>
      <c r="N338" s="37"/>
      <c r="O338" s="37"/>
      <c r="P338" s="37"/>
      <c r="Q338" s="37"/>
      <c r="R338" s="37"/>
      <c r="S338" s="37"/>
      <c r="T338" s="37"/>
      <c r="U338" s="37"/>
      <c r="V338" s="37"/>
      <c r="W338" s="37"/>
      <c r="X338" s="37"/>
      <c r="Y338" s="37"/>
      <c r="Z338" s="37"/>
      <c r="AA338" s="37"/>
      <c r="AB338" s="37"/>
      <c r="AC338" s="37"/>
      <c r="AD338" s="37"/>
      <c r="AE338" s="37"/>
    </row>
    <row r="339" spans="1:31" x14ac:dyDescent="0.25">
      <c r="A339" s="37"/>
      <c r="B339" s="37"/>
      <c r="C339" s="37"/>
      <c r="D339" s="37"/>
      <c r="E339" s="37"/>
      <c r="F339" s="37"/>
      <c r="G339" s="37"/>
      <c r="H339" s="37"/>
      <c r="I339" s="37"/>
      <c r="J339" s="37"/>
      <c r="K339" s="37"/>
      <c r="L339" s="37"/>
      <c r="M339" s="37"/>
      <c r="N339" s="37"/>
      <c r="O339" s="37"/>
      <c r="P339" s="37"/>
      <c r="Q339" s="37"/>
      <c r="R339" s="37"/>
      <c r="S339" s="37"/>
      <c r="T339" s="37"/>
      <c r="U339" s="37"/>
      <c r="V339" s="37"/>
      <c r="W339" s="37"/>
      <c r="X339" s="37"/>
      <c r="Y339" s="37"/>
      <c r="Z339" s="37"/>
      <c r="AA339" s="37"/>
      <c r="AB339" s="37"/>
      <c r="AC339" s="37"/>
      <c r="AD339" s="37"/>
      <c r="AE339" s="37"/>
    </row>
    <row r="340" spans="1:31" x14ac:dyDescent="0.25">
      <c r="A340" s="37"/>
      <c r="B340" s="37"/>
      <c r="C340" s="37"/>
      <c r="D340" s="37"/>
      <c r="E340" s="37"/>
      <c r="F340" s="37"/>
      <c r="G340" s="37"/>
      <c r="H340" s="37"/>
      <c r="I340" s="37"/>
      <c r="J340" s="37"/>
      <c r="K340" s="37"/>
      <c r="L340" s="37"/>
      <c r="M340" s="37"/>
      <c r="N340" s="37"/>
      <c r="O340" s="37"/>
      <c r="P340" s="37"/>
      <c r="Q340" s="37"/>
      <c r="R340" s="37"/>
      <c r="S340" s="37"/>
      <c r="T340" s="37"/>
      <c r="U340" s="37"/>
      <c r="V340" s="37"/>
      <c r="W340" s="37"/>
      <c r="X340" s="37"/>
      <c r="Y340" s="37"/>
      <c r="Z340" s="37"/>
      <c r="AA340" s="37"/>
      <c r="AB340" s="37"/>
      <c r="AC340" s="37"/>
      <c r="AD340" s="37"/>
      <c r="AE340" s="37"/>
    </row>
    <row r="341" spans="1:31" x14ac:dyDescent="0.25">
      <c r="A341" s="37"/>
      <c r="B341" s="37"/>
      <c r="C341" s="37"/>
      <c r="D341" s="37"/>
      <c r="E341" s="37"/>
      <c r="F341" s="37"/>
      <c r="G341" s="37"/>
      <c r="H341" s="37"/>
      <c r="I341" s="37"/>
      <c r="J341" s="37"/>
      <c r="K341" s="37"/>
      <c r="L341" s="37"/>
      <c r="M341" s="37"/>
      <c r="N341" s="37"/>
      <c r="O341" s="37"/>
      <c r="P341" s="37"/>
      <c r="Q341" s="37"/>
      <c r="R341" s="37"/>
      <c r="S341" s="37"/>
      <c r="T341" s="37"/>
      <c r="U341" s="37"/>
      <c r="V341" s="37"/>
      <c r="W341" s="37"/>
      <c r="X341" s="37"/>
      <c r="Y341" s="37"/>
      <c r="Z341" s="37"/>
      <c r="AA341" s="37"/>
      <c r="AB341" s="37"/>
      <c r="AC341" s="37"/>
      <c r="AD341" s="37"/>
      <c r="AE341" s="37"/>
    </row>
    <row r="342" spans="1:31" x14ac:dyDescent="0.25">
      <c r="A342" s="37"/>
      <c r="B342" s="37"/>
      <c r="C342" s="37"/>
      <c r="D342" s="37"/>
      <c r="E342" s="37"/>
      <c r="F342" s="37"/>
      <c r="G342" s="37"/>
      <c r="H342" s="37"/>
      <c r="I342" s="37"/>
      <c r="J342" s="37"/>
      <c r="K342" s="37"/>
      <c r="L342" s="37"/>
      <c r="M342" s="37"/>
      <c r="N342" s="37"/>
      <c r="O342" s="37"/>
      <c r="P342" s="37"/>
      <c r="Q342" s="37"/>
      <c r="R342" s="37"/>
      <c r="S342" s="37"/>
      <c r="T342" s="37"/>
      <c r="U342" s="37"/>
      <c r="V342" s="37"/>
      <c r="W342" s="37"/>
      <c r="X342" s="37"/>
      <c r="Y342" s="37"/>
      <c r="Z342" s="37"/>
      <c r="AA342" s="37"/>
      <c r="AB342" s="37"/>
      <c r="AC342" s="37"/>
      <c r="AD342" s="37"/>
      <c r="AE342" s="37"/>
    </row>
    <row r="343" spans="1:31" x14ac:dyDescent="0.25">
      <c r="A343" s="37"/>
      <c r="B343" s="37"/>
      <c r="C343" s="37"/>
      <c r="D343" s="37"/>
      <c r="E343" s="37"/>
      <c r="F343" s="37"/>
      <c r="G343" s="37"/>
      <c r="H343" s="37"/>
      <c r="I343" s="37"/>
      <c r="J343" s="37"/>
      <c r="K343" s="37"/>
      <c r="L343" s="37"/>
      <c r="M343" s="37"/>
      <c r="N343" s="37"/>
      <c r="O343" s="37"/>
      <c r="P343" s="37"/>
      <c r="Q343" s="37"/>
      <c r="R343" s="37"/>
      <c r="S343" s="37"/>
      <c r="T343" s="37"/>
      <c r="U343" s="37"/>
      <c r="V343" s="37"/>
      <c r="W343" s="37"/>
      <c r="X343" s="37"/>
      <c r="Y343" s="37"/>
      <c r="Z343" s="37"/>
      <c r="AA343" s="37"/>
      <c r="AB343" s="37"/>
      <c r="AC343" s="37"/>
      <c r="AD343" s="37"/>
      <c r="AE343" s="37"/>
    </row>
    <row r="344" spans="1:31" x14ac:dyDescent="0.25">
      <c r="A344" s="37"/>
      <c r="B344" s="37"/>
      <c r="C344" s="37"/>
      <c r="D344" s="37"/>
      <c r="E344" s="37"/>
      <c r="F344" s="37"/>
      <c r="G344" s="37"/>
      <c r="H344" s="37"/>
      <c r="I344" s="37"/>
      <c r="J344" s="37"/>
      <c r="K344" s="37"/>
      <c r="L344" s="37"/>
      <c r="M344" s="37"/>
      <c r="N344" s="37"/>
      <c r="O344" s="37"/>
      <c r="P344" s="37"/>
      <c r="Q344" s="37"/>
      <c r="R344" s="37"/>
      <c r="S344" s="37"/>
      <c r="T344" s="37"/>
      <c r="U344" s="37"/>
      <c r="V344" s="37"/>
      <c r="W344" s="37"/>
      <c r="X344" s="37"/>
      <c r="Y344" s="37"/>
      <c r="Z344" s="37"/>
      <c r="AA344" s="37"/>
      <c r="AB344" s="37"/>
      <c r="AC344" s="37"/>
      <c r="AD344" s="37"/>
      <c r="AE344" s="37"/>
    </row>
    <row r="345" spans="1:31" x14ac:dyDescent="0.25">
      <c r="A345" s="37"/>
      <c r="B345" s="37"/>
      <c r="C345" s="37"/>
      <c r="D345" s="37"/>
      <c r="E345" s="37"/>
      <c r="F345" s="37"/>
      <c r="G345" s="37"/>
      <c r="H345" s="37"/>
      <c r="I345" s="37"/>
      <c r="J345" s="37"/>
      <c r="K345" s="37"/>
      <c r="L345" s="37"/>
      <c r="M345" s="37"/>
      <c r="N345" s="37"/>
      <c r="O345" s="37"/>
      <c r="P345" s="37"/>
      <c r="Q345" s="37"/>
      <c r="R345" s="37"/>
      <c r="S345" s="37"/>
      <c r="T345" s="37"/>
      <c r="U345" s="37"/>
      <c r="V345" s="37"/>
      <c r="W345" s="37"/>
      <c r="X345" s="37"/>
      <c r="Y345" s="37"/>
      <c r="Z345" s="37"/>
      <c r="AA345" s="37"/>
      <c r="AB345" s="37"/>
      <c r="AC345" s="37"/>
      <c r="AD345" s="37"/>
      <c r="AE345" s="37"/>
    </row>
    <row r="346" spans="1:31" x14ac:dyDescent="0.25">
      <c r="A346" s="37"/>
      <c r="B346" s="37"/>
      <c r="C346" s="37"/>
      <c r="D346" s="37"/>
      <c r="E346" s="37"/>
      <c r="F346" s="37"/>
      <c r="G346" s="37"/>
      <c r="H346" s="37"/>
      <c r="I346" s="37"/>
      <c r="J346" s="37"/>
      <c r="K346" s="37"/>
      <c r="L346" s="37"/>
      <c r="M346" s="37"/>
      <c r="N346" s="37"/>
      <c r="O346" s="37"/>
      <c r="P346" s="37"/>
      <c r="Q346" s="37"/>
      <c r="R346" s="37"/>
      <c r="S346" s="37"/>
      <c r="T346" s="37"/>
      <c r="U346" s="37"/>
      <c r="V346" s="37"/>
      <c r="W346" s="37"/>
      <c r="X346" s="37"/>
      <c r="Y346" s="37"/>
      <c r="Z346" s="37"/>
      <c r="AA346" s="37"/>
      <c r="AB346" s="37"/>
      <c r="AC346" s="37"/>
      <c r="AD346" s="37"/>
      <c r="AE346" s="37"/>
    </row>
    <row r="347" spans="1:31" x14ac:dyDescent="0.25">
      <c r="A347" s="37"/>
      <c r="B347" s="37"/>
      <c r="C347" s="37"/>
      <c r="D347" s="37"/>
      <c r="E347" s="37"/>
      <c r="F347" s="37"/>
      <c r="G347" s="37"/>
      <c r="H347" s="37"/>
      <c r="I347" s="37"/>
      <c r="J347" s="37"/>
      <c r="K347" s="37"/>
      <c r="L347" s="37"/>
      <c r="M347" s="37"/>
      <c r="N347" s="37"/>
      <c r="O347" s="37"/>
      <c r="P347" s="37"/>
      <c r="Q347" s="37"/>
      <c r="R347" s="37"/>
      <c r="S347" s="37"/>
      <c r="T347" s="37"/>
      <c r="U347" s="37"/>
      <c r="V347" s="37"/>
      <c r="W347" s="37"/>
      <c r="X347" s="37"/>
      <c r="Y347" s="37"/>
      <c r="Z347" s="37"/>
      <c r="AA347" s="37"/>
      <c r="AB347" s="37"/>
      <c r="AC347" s="37"/>
      <c r="AD347" s="37"/>
      <c r="AE347" s="37"/>
    </row>
    <row r="348" spans="1:31" x14ac:dyDescent="0.25">
      <c r="A348" s="37"/>
      <c r="B348" s="37"/>
      <c r="C348" s="37"/>
      <c r="D348" s="37"/>
      <c r="E348" s="37"/>
      <c r="F348" s="37"/>
      <c r="G348" s="37"/>
      <c r="H348" s="37"/>
      <c r="I348" s="37"/>
      <c r="J348" s="37"/>
      <c r="K348" s="37"/>
      <c r="L348" s="37"/>
      <c r="M348" s="37"/>
      <c r="N348" s="37"/>
      <c r="O348" s="37"/>
      <c r="P348" s="37"/>
      <c r="Q348" s="37"/>
      <c r="R348" s="37"/>
      <c r="S348" s="37"/>
      <c r="T348" s="37"/>
      <c r="U348" s="37"/>
      <c r="V348" s="37"/>
      <c r="W348" s="37"/>
      <c r="X348" s="37"/>
      <c r="Y348" s="37"/>
      <c r="Z348" s="37"/>
      <c r="AA348" s="37"/>
      <c r="AB348" s="37"/>
      <c r="AC348" s="37"/>
      <c r="AD348" s="37"/>
      <c r="AE348" s="37"/>
    </row>
    <row r="349" spans="1:31" x14ac:dyDescent="0.25">
      <c r="A349" s="37"/>
      <c r="B349" s="37"/>
      <c r="C349" s="37"/>
      <c r="D349" s="37"/>
      <c r="E349" s="37"/>
      <c r="F349" s="37"/>
      <c r="G349" s="37"/>
      <c r="H349" s="37"/>
      <c r="I349" s="37"/>
      <c r="J349" s="37"/>
      <c r="K349" s="37"/>
      <c r="L349" s="37"/>
      <c r="M349" s="37"/>
      <c r="N349" s="37"/>
      <c r="O349" s="37"/>
      <c r="P349" s="37"/>
      <c r="Q349" s="37"/>
      <c r="R349" s="37"/>
      <c r="S349" s="37"/>
      <c r="T349" s="37"/>
      <c r="U349" s="37"/>
      <c r="V349" s="37"/>
      <c r="W349" s="37"/>
      <c r="X349" s="37"/>
      <c r="Y349" s="37"/>
      <c r="Z349" s="37"/>
      <c r="AA349" s="37"/>
      <c r="AB349" s="37"/>
      <c r="AC349" s="37"/>
      <c r="AD349" s="37"/>
      <c r="AE349" s="37"/>
    </row>
    <row r="350" spans="1:31" x14ac:dyDescent="0.25">
      <c r="A350" s="37"/>
      <c r="B350" s="37"/>
      <c r="C350" s="37"/>
      <c r="D350" s="37"/>
      <c r="E350" s="37"/>
      <c r="F350" s="37"/>
      <c r="G350" s="37"/>
      <c r="H350" s="37"/>
      <c r="I350" s="37"/>
      <c r="J350" s="37"/>
      <c r="K350" s="37"/>
      <c r="L350" s="37"/>
      <c r="M350" s="37"/>
      <c r="N350" s="37"/>
      <c r="O350" s="37"/>
      <c r="P350" s="37"/>
      <c r="Q350" s="37"/>
      <c r="R350" s="37"/>
      <c r="S350" s="37"/>
      <c r="T350" s="37"/>
      <c r="U350" s="37"/>
      <c r="V350" s="37"/>
      <c r="W350" s="37"/>
      <c r="X350" s="37"/>
      <c r="Y350" s="37"/>
      <c r="Z350" s="37"/>
      <c r="AA350" s="37"/>
      <c r="AB350" s="37"/>
      <c r="AC350" s="37"/>
      <c r="AD350" s="37"/>
      <c r="AE350" s="37"/>
    </row>
    <row r="351" spans="1:31" x14ac:dyDescent="0.25">
      <c r="A351" s="37"/>
      <c r="B351" s="37"/>
      <c r="C351" s="37"/>
      <c r="D351" s="37"/>
      <c r="E351" s="37"/>
      <c r="F351" s="37"/>
      <c r="G351" s="37"/>
      <c r="H351" s="37"/>
      <c r="I351" s="37"/>
      <c r="J351" s="37"/>
      <c r="K351" s="37"/>
      <c r="L351" s="37"/>
      <c r="M351" s="37"/>
      <c r="N351" s="37"/>
      <c r="O351" s="37"/>
      <c r="P351" s="37"/>
      <c r="Q351" s="37"/>
      <c r="R351" s="37"/>
      <c r="S351" s="37"/>
      <c r="T351" s="37"/>
      <c r="U351" s="37"/>
      <c r="V351" s="37"/>
      <c r="W351" s="37"/>
      <c r="X351" s="37"/>
      <c r="Y351" s="37"/>
      <c r="Z351" s="37"/>
      <c r="AA351" s="37"/>
      <c r="AB351" s="37"/>
      <c r="AC351" s="37"/>
      <c r="AD351" s="37"/>
      <c r="AE351" s="37"/>
    </row>
    <row r="352" spans="1:31" x14ac:dyDescent="0.25">
      <c r="A352" s="37"/>
      <c r="B352" s="37"/>
      <c r="C352" s="37"/>
      <c r="D352" s="37"/>
      <c r="E352" s="37"/>
      <c r="F352" s="37"/>
      <c r="G352" s="37"/>
      <c r="H352" s="37"/>
      <c r="I352" s="37"/>
      <c r="J352" s="37"/>
      <c r="K352" s="37"/>
      <c r="L352" s="37"/>
      <c r="M352" s="37"/>
      <c r="N352" s="37"/>
      <c r="O352" s="37"/>
      <c r="P352" s="37"/>
      <c r="Q352" s="37"/>
      <c r="R352" s="37"/>
      <c r="S352" s="37"/>
      <c r="T352" s="37"/>
      <c r="U352" s="37"/>
      <c r="V352" s="37"/>
      <c r="W352" s="37"/>
      <c r="X352" s="37"/>
      <c r="Y352" s="37"/>
      <c r="Z352" s="37"/>
      <c r="AA352" s="37"/>
      <c r="AB352" s="37"/>
      <c r="AC352" s="37"/>
      <c r="AD352" s="37"/>
      <c r="AE352" s="37"/>
    </row>
    <row r="353" spans="1:31" x14ac:dyDescent="0.25">
      <c r="A353" s="37"/>
      <c r="B353" s="37"/>
      <c r="C353" s="37"/>
      <c r="D353" s="37"/>
      <c r="E353" s="37"/>
      <c r="F353" s="37"/>
      <c r="G353" s="37"/>
      <c r="H353" s="37"/>
      <c r="I353" s="37"/>
      <c r="J353" s="37"/>
      <c r="K353" s="37"/>
      <c r="L353" s="37"/>
      <c r="M353" s="37"/>
      <c r="N353" s="37"/>
      <c r="O353" s="37"/>
      <c r="P353" s="37"/>
      <c r="Q353" s="37"/>
      <c r="R353" s="37"/>
      <c r="S353" s="37"/>
      <c r="T353" s="37"/>
      <c r="U353" s="37"/>
      <c r="V353" s="37"/>
      <c r="W353" s="37"/>
      <c r="X353" s="37"/>
      <c r="Y353" s="37"/>
      <c r="Z353" s="37"/>
      <c r="AA353" s="37"/>
      <c r="AB353" s="37"/>
      <c r="AC353" s="37"/>
      <c r="AD353" s="37"/>
      <c r="AE353" s="37"/>
    </row>
    <row r="354" spans="1:31" x14ac:dyDescent="0.25">
      <c r="A354" s="37"/>
      <c r="B354" s="37"/>
      <c r="C354" s="37"/>
      <c r="D354" s="37"/>
      <c r="E354" s="37"/>
      <c r="F354" s="37"/>
      <c r="G354" s="37"/>
      <c r="H354" s="37"/>
      <c r="I354" s="37"/>
      <c r="J354" s="37"/>
      <c r="K354" s="37"/>
      <c r="L354" s="37"/>
      <c r="M354" s="37"/>
      <c r="N354" s="37"/>
      <c r="O354" s="37"/>
      <c r="P354" s="37"/>
      <c r="Q354" s="37"/>
      <c r="R354" s="37"/>
      <c r="S354" s="37"/>
      <c r="T354" s="37"/>
      <c r="U354" s="37"/>
      <c r="V354" s="37"/>
      <c r="W354" s="37"/>
      <c r="X354" s="37"/>
      <c r="Y354" s="37"/>
      <c r="Z354" s="37"/>
      <c r="AA354" s="37"/>
      <c r="AB354" s="37"/>
      <c r="AC354" s="37"/>
      <c r="AD354" s="37"/>
      <c r="AE354" s="37"/>
    </row>
    <row r="355" spans="1:31" x14ac:dyDescent="0.25">
      <c r="A355" s="37"/>
      <c r="B355" s="37"/>
      <c r="C355" s="37"/>
      <c r="D355" s="37"/>
      <c r="E355" s="37"/>
      <c r="F355" s="37"/>
      <c r="G355" s="37"/>
      <c r="H355" s="37"/>
      <c r="I355" s="37"/>
      <c r="J355" s="37"/>
      <c r="K355" s="37"/>
      <c r="L355" s="37"/>
      <c r="M355" s="37"/>
      <c r="N355" s="37"/>
      <c r="O355" s="37"/>
      <c r="P355" s="37"/>
      <c r="Q355" s="37"/>
      <c r="R355" s="37"/>
      <c r="S355" s="37"/>
      <c r="T355" s="37"/>
      <c r="U355" s="37"/>
      <c r="V355" s="37"/>
      <c r="W355" s="37"/>
      <c r="X355" s="37"/>
      <c r="Y355" s="37"/>
      <c r="Z355" s="37"/>
      <c r="AA355" s="37"/>
      <c r="AB355" s="37"/>
      <c r="AC355" s="37"/>
      <c r="AD355" s="37"/>
      <c r="AE355" s="37"/>
    </row>
    <row r="356" spans="1:31" x14ac:dyDescent="0.25">
      <c r="A356" s="37"/>
      <c r="B356" s="37"/>
      <c r="C356" s="37"/>
      <c r="D356" s="37"/>
      <c r="E356" s="37"/>
      <c r="F356" s="37"/>
      <c r="G356" s="37"/>
      <c r="H356" s="37"/>
      <c r="I356" s="37"/>
      <c r="J356" s="37"/>
      <c r="K356" s="37"/>
      <c r="L356" s="37"/>
      <c r="M356" s="37"/>
      <c r="N356" s="37"/>
      <c r="O356" s="37"/>
      <c r="P356" s="37"/>
      <c r="Q356" s="37"/>
      <c r="R356" s="37"/>
      <c r="S356" s="37"/>
      <c r="T356" s="37"/>
      <c r="U356" s="37"/>
      <c r="V356" s="37"/>
      <c r="W356" s="37"/>
      <c r="X356" s="37"/>
      <c r="Y356" s="37"/>
      <c r="Z356" s="37"/>
      <c r="AA356" s="37"/>
      <c r="AB356" s="37"/>
      <c r="AC356" s="37"/>
      <c r="AD356" s="37"/>
      <c r="AE356" s="37"/>
    </row>
    <row r="357" spans="1:31" x14ac:dyDescent="0.25">
      <c r="A357" s="37"/>
      <c r="B357" s="37"/>
      <c r="C357" s="37"/>
      <c r="D357" s="37"/>
      <c r="E357" s="37"/>
      <c r="F357" s="37"/>
      <c r="G357" s="37"/>
      <c r="H357" s="37"/>
      <c r="I357" s="37"/>
      <c r="J357" s="37"/>
      <c r="K357" s="37"/>
      <c r="L357" s="37"/>
      <c r="M357" s="37"/>
      <c r="N357" s="37"/>
      <c r="O357" s="37"/>
      <c r="P357" s="37"/>
      <c r="Q357" s="37"/>
      <c r="R357" s="37"/>
      <c r="S357" s="37"/>
      <c r="T357" s="37"/>
      <c r="U357" s="37"/>
      <c r="V357" s="37"/>
      <c r="W357" s="37"/>
      <c r="X357" s="37"/>
      <c r="Y357" s="37"/>
      <c r="Z357" s="37"/>
      <c r="AA357" s="37"/>
      <c r="AB357" s="37"/>
      <c r="AC357" s="37"/>
      <c r="AD357" s="37"/>
      <c r="AE357" s="37"/>
    </row>
    <row r="358" spans="1:31" x14ac:dyDescent="0.25">
      <c r="A358" s="37"/>
      <c r="B358" s="37"/>
      <c r="C358" s="37"/>
      <c r="D358" s="37"/>
      <c r="E358" s="37"/>
      <c r="F358" s="37"/>
      <c r="G358" s="37"/>
      <c r="H358" s="37"/>
      <c r="I358" s="37"/>
      <c r="J358" s="37"/>
      <c r="K358" s="37"/>
      <c r="L358" s="37"/>
      <c r="M358" s="37"/>
      <c r="N358" s="37"/>
      <c r="O358" s="37"/>
      <c r="P358" s="37"/>
      <c r="Q358" s="37"/>
      <c r="R358" s="37"/>
      <c r="S358" s="37"/>
      <c r="T358" s="37"/>
      <c r="U358" s="37"/>
      <c r="V358" s="37"/>
      <c r="W358" s="37"/>
      <c r="X358" s="37"/>
      <c r="Y358" s="37"/>
      <c r="Z358" s="37"/>
      <c r="AA358" s="37"/>
      <c r="AB358" s="37"/>
      <c r="AC358" s="37"/>
      <c r="AD358" s="37"/>
      <c r="AE358" s="37"/>
    </row>
    <row r="359" spans="1:31" x14ac:dyDescent="0.25">
      <c r="A359" s="37"/>
      <c r="B359" s="37"/>
      <c r="C359" s="37"/>
      <c r="D359" s="37"/>
      <c r="E359" s="37"/>
      <c r="F359" s="37"/>
      <c r="G359" s="37"/>
      <c r="H359" s="37"/>
      <c r="I359" s="37"/>
      <c r="J359" s="37"/>
      <c r="K359" s="37"/>
      <c r="L359" s="37"/>
      <c r="M359" s="37"/>
      <c r="N359" s="37"/>
      <c r="O359" s="37"/>
      <c r="P359" s="37"/>
      <c r="Q359" s="37"/>
      <c r="R359" s="37"/>
      <c r="S359" s="37"/>
      <c r="T359" s="37"/>
      <c r="U359" s="37"/>
      <c r="V359" s="37"/>
      <c r="W359" s="37"/>
      <c r="X359" s="37"/>
      <c r="Y359" s="37"/>
      <c r="Z359" s="37"/>
      <c r="AA359" s="37"/>
      <c r="AB359" s="37"/>
      <c r="AC359" s="37"/>
      <c r="AD359" s="37"/>
      <c r="AE359" s="37"/>
    </row>
    <row r="360" spans="1:31" x14ac:dyDescent="0.25">
      <c r="A360" s="37"/>
      <c r="B360" s="37"/>
      <c r="C360" s="37"/>
      <c r="D360" s="37"/>
      <c r="E360" s="37"/>
      <c r="F360" s="37"/>
      <c r="G360" s="37"/>
      <c r="H360" s="37"/>
      <c r="I360" s="37"/>
      <c r="J360" s="37"/>
      <c r="K360" s="37"/>
      <c r="L360" s="37"/>
      <c r="M360" s="37"/>
      <c r="N360" s="37"/>
      <c r="O360" s="37"/>
      <c r="P360" s="37"/>
      <c r="Q360" s="37"/>
      <c r="R360" s="37"/>
      <c r="S360" s="37"/>
      <c r="T360" s="37"/>
      <c r="U360" s="37"/>
      <c r="V360" s="37"/>
      <c r="W360" s="37"/>
      <c r="X360" s="37"/>
      <c r="Y360" s="37"/>
      <c r="Z360" s="37"/>
      <c r="AA360" s="37"/>
      <c r="AB360" s="37"/>
      <c r="AC360" s="37"/>
      <c r="AD360" s="37"/>
      <c r="AE360" s="37"/>
    </row>
    <row r="361" spans="1:31" x14ac:dyDescent="0.25">
      <c r="A361" s="37"/>
      <c r="B361" s="37"/>
      <c r="C361" s="37"/>
      <c r="D361" s="37"/>
      <c r="E361" s="37"/>
      <c r="F361" s="37"/>
      <c r="G361" s="37"/>
      <c r="H361" s="37"/>
      <c r="I361" s="37"/>
      <c r="J361" s="37"/>
      <c r="K361" s="37"/>
      <c r="L361" s="37"/>
      <c r="M361" s="37"/>
      <c r="N361" s="37"/>
      <c r="O361" s="37"/>
      <c r="P361" s="37"/>
      <c r="Q361" s="37"/>
      <c r="R361" s="37"/>
      <c r="S361" s="37"/>
      <c r="T361" s="37"/>
      <c r="U361" s="37"/>
      <c r="V361" s="37"/>
      <c r="W361" s="37"/>
      <c r="X361" s="37"/>
      <c r="Y361" s="37"/>
      <c r="Z361" s="37"/>
      <c r="AA361" s="37"/>
      <c r="AB361" s="37"/>
      <c r="AC361" s="37"/>
      <c r="AD361" s="37"/>
      <c r="AE361" s="37"/>
    </row>
    <row r="362" spans="1:31" x14ac:dyDescent="0.25">
      <c r="A362" s="37"/>
      <c r="B362" s="37"/>
      <c r="C362" s="37"/>
      <c r="D362" s="37"/>
      <c r="E362" s="37"/>
      <c r="F362" s="37"/>
      <c r="G362" s="37"/>
      <c r="H362" s="37"/>
      <c r="I362" s="37"/>
      <c r="J362" s="37"/>
      <c r="K362" s="37"/>
      <c r="L362" s="37"/>
      <c r="M362" s="37"/>
      <c r="N362" s="37"/>
      <c r="O362" s="37"/>
      <c r="P362" s="37"/>
      <c r="Q362" s="37"/>
      <c r="R362" s="37"/>
      <c r="S362" s="37"/>
      <c r="T362" s="37"/>
      <c r="U362" s="37"/>
      <c r="V362" s="37"/>
      <c r="W362" s="37"/>
      <c r="X362" s="37"/>
      <c r="Y362" s="37"/>
      <c r="Z362" s="37"/>
      <c r="AA362" s="37"/>
      <c r="AB362" s="37"/>
      <c r="AC362" s="37"/>
      <c r="AD362" s="37"/>
      <c r="AE362" s="37"/>
    </row>
    <row r="363" spans="1:31" x14ac:dyDescent="0.25">
      <c r="A363" s="37"/>
      <c r="B363" s="37"/>
      <c r="C363" s="37"/>
      <c r="D363" s="37"/>
      <c r="E363" s="37"/>
      <c r="F363" s="37"/>
      <c r="G363" s="37"/>
      <c r="H363" s="37"/>
      <c r="I363" s="37"/>
      <c r="J363" s="37"/>
      <c r="K363" s="37"/>
      <c r="L363" s="37"/>
      <c r="M363" s="37"/>
      <c r="N363" s="37"/>
      <c r="O363" s="37"/>
      <c r="P363" s="37"/>
      <c r="Q363" s="37"/>
      <c r="R363" s="37"/>
      <c r="S363" s="37"/>
      <c r="T363" s="37"/>
      <c r="U363" s="37"/>
      <c r="V363" s="37"/>
      <c r="W363" s="37"/>
      <c r="X363" s="37"/>
      <c r="Y363" s="37"/>
      <c r="Z363" s="37"/>
      <c r="AA363" s="37"/>
      <c r="AB363" s="37"/>
      <c r="AC363" s="37"/>
      <c r="AD363" s="37"/>
      <c r="AE363" s="37"/>
    </row>
    <row r="364" spans="1:31" x14ac:dyDescent="0.25">
      <c r="A364" s="37"/>
      <c r="B364" s="37"/>
      <c r="C364" s="37"/>
      <c r="D364" s="37"/>
      <c r="E364" s="37"/>
      <c r="F364" s="37"/>
      <c r="G364" s="37"/>
      <c r="H364" s="37"/>
      <c r="I364" s="37"/>
      <c r="J364" s="37"/>
      <c r="K364" s="37"/>
      <c r="L364" s="37"/>
      <c r="M364" s="37"/>
      <c r="N364" s="37"/>
      <c r="O364" s="37"/>
      <c r="P364" s="37"/>
      <c r="Q364" s="37"/>
      <c r="R364" s="37"/>
      <c r="S364" s="37"/>
      <c r="T364" s="37"/>
      <c r="U364" s="37"/>
      <c r="V364" s="37"/>
      <c r="W364" s="37"/>
      <c r="X364" s="37"/>
      <c r="Y364" s="37"/>
      <c r="Z364" s="37"/>
      <c r="AA364" s="37"/>
      <c r="AB364" s="37"/>
      <c r="AC364" s="37"/>
      <c r="AD364" s="37"/>
      <c r="AE364" s="37"/>
    </row>
    <row r="365" spans="1:31" x14ac:dyDescent="0.25">
      <c r="A365" s="37"/>
      <c r="B365" s="37"/>
      <c r="C365" s="37"/>
      <c r="D365" s="37"/>
      <c r="E365" s="37"/>
      <c r="F365" s="37"/>
      <c r="G365" s="37"/>
      <c r="H365" s="37"/>
      <c r="I365" s="37"/>
      <c r="J365" s="37"/>
      <c r="K365" s="37"/>
      <c r="L365" s="37"/>
      <c r="M365" s="37"/>
      <c r="N365" s="37"/>
      <c r="O365" s="37"/>
      <c r="P365" s="37"/>
      <c r="Q365" s="37"/>
      <c r="R365" s="37"/>
      <c r="S365" s="37"/>
      <c r="T365" s="37"/>
      <c r="U365" s="37"/>
      <c r="V365" s="37"/>
      <c r="W365" s="37"/>
      <c r="X365" s="37"/>
      <c r="Y365" s="37"/>
      <c r="Z365" s="37"/>
      <c r="AA365" s="37"/>
      <c r="AB365" s="37"/>
      <c r="AC365" s="37"/>
      <c r="AD365" s="37"/>
      <c r="AE365" s="37"/>
    </row>
    <row r="366" spans="1:31" x14ac:dyDescent="0.25">
      <c r="A366" s="37"/>
      <c r="B366" s="37"/>
      <c r="C366" s="37"/>
      <c r="D366" s="37"/>
      <c r="E366" s="37"/>
      <c r="F366" s="37"/>
      <c r="G366" s="37"/>
      <c r="H366" s="37"/>
      <c r="I366" s="37"/>
      <c r="J366" s="37"/>
      <c r="K366" s="37"/>
      <c r="L366" s="37"/>
      <c r="M366" s="37"/>
      <c r="N366" s="37"/>
      <c r="O366" s="37"/>
      <c r="P366" s="37"/>
      <c r="Q366" s="37"/>
      <c r="R366" s="37"/>
      <c r="S366" s="37"/>
      <c r="T366" s="37"/>
      <c r="U366" s="37"/>
      <c r="V366" s="37"/>
      <c r="W366" s="37"/>
      <c r="X366" s="37"/>
      <c r="Y366" s="37"/>
      <c r="Z366" s="37"/>
      <c r="AA366" s="37"/>
      <c r="AB366" s="37"/>
      <c r="AC366" s="37"/>
      <c r="AD366" s="37"/>
      <c r="AE366" s="37"/>
    </row>
    <row r="367" spans="1:31" x14ac:dyDescent="0.25">
      <c r="A367" s="37"/>
      <c r="B367" s="37"/>
      <c r="C367" s="37"/>
      <c r="D367" s="37"/>
      <c r="E367" s="37"/>
      <c r="F367" s="37"/>
      <c r="G367" s="37"/>
      <c r="H367" s="37"/>
      <c r="I367" s="37"/>
      <c r="J367" s="37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  <c r="AA367" s="37"/>
      <c r="AB367" s="37"/>
      <c r="AC367" s="37"/>
      <c r="AD367" s="37"/>
      <c r="AE367" s="37"/>
    </row>
    <row r="368" spans="1:31" x14ac:dyDescent="0.25">
      <c r="A368" s="37"/>
      <c r="B368" s="37"/>
      <c r="C368" s="37"/>
      <c r="D368" s="37"/>
      <c r="E368" s="37"/>
      <c r="F368" s="37"/>
      <c r="G368" s="37"/>
      <c r="H368" s="37"/>
      <c r="I368" s="37"/>
      <c r="J368" s="37"/>
      <c r="K368" s="37"/>
      <c r="L368" s="37"/>
      <c r="M368" s="37"/>
      <c r="N368" s="37"/>
      <c r="O368" s="37"/>
      <c r="P368" s="37"/>
      <c r="Q368" s="37"/>
      <c r="R368" s="37"/>
      <c r="S368" s="37"/>
      <c r="T368" s="37"/>
      <c r="U368" s="37"/>
      <c r="V368" s="37"/>
      <c r="W368" s="37"/>
      <c r="X368" s="37"/>
      <c r="Y368" s="37"/>
      <c r="Z368" s="37"/>
      <c r="AA368" s="37"/>
      <c r="AB368" s="37"/>
      <c r="AC368" s="37"/>
      <c r="AD368" s="37"/>
      <c r="AE368" s="37"/>
    </row>
    <row r="369" spans="1:31" x14ac:dyDescent="0.25">
      <c r="A369" s="37"/>
      <c r="B369" s="37"/>
      <c r="C369" s="37"/>
      <c r="D369" s="37"/>
      <c r="E369" s="37"/>
      <c r="F369" s="37"/>
      <c r="G369" s="37"/>
      <c r="H369" s="37"/>
      <c r="I369" s="37"/>
      <c r="J369" s="37"/>
      <c r="K369" s="37"/>
      <c r="L369" s="37"/>
      <c r="M369" s="37"/>
      <c r="N369" s="37"/>
      <c r="O369" s="37"/>
      <c r="P369" s="37"/>
      <c r="Q369" s="37"/>
      <c r="R369" s="37"/>
      <c r="S369" s="37"/>
      <c r="T369" s="37"/>
      <c r="U369" s="37"/>
      <c r="V369" s="37"/>
      <c r="W369" s="37"/>
      <c r="X369" s="37"/>
      <c r="Y369" s="37"/>
      <c r="Z369" s="37"/>
      <c r="AA369" s="37"/>
      <c r="AB369" s="37"/>
      <c r="AC369" s="37"/>
      <c r="AD369" s="37"/>
      <c r="AE369" s="37"/>
    </row>
    <row r="370" spans="1:31" x14ac:dyDescent="0.25">
      <c r="A370" s="37"/>
      <c r="B370" s="37"/>
      <c r="C370" s="37"/>
      <c r="D370" s="37"/>
      <c r="E370" s="37"/>
      <c r="F370" s="37"/>
      <c r="G370" s="37"/>
      <c r="H370" s="37"/>
      <c r="I370" s="37"/>
      <c r="J370" s="37"/>
      <c r="K370" s="37"/>
      <c r="L370" s="37"/>
      <c r="M370" s="37"/>
      <c r="N370" s="37"/>
      <c r="O370" s="37"/>
      <c r="P370" s="37"/>
      <c r="Q370" s="37"/>
      <c r="R370" s="37"/>
      <c r="S370" s="37"/>
      <c r="T370" s="37"/>
      <c r="U370" s="37"/>
      <c r="V370" s="37"/>
      <c r="W370" s="37"/>
      <c r="X370" s="37"/>
      <c r="Y370" s="37"/>
      <c r="Z370" s="37"/>
      <c r="AA370" s="37"/>
      <c r="AB370" s="37"/>
      <c r="AC370" s="37"/>
      <c r="AD370" s="37"/>
      <c r="AE370" s="37"/>
    </row>
    <row r="371" spans="1:31" x14ac:dyDescent="0.25">
      <c r="A371" s="37"/>
      <c r="B371" s="37"/>
      <c r="C371" s="37"/>
      <c r="D371" s="37"/>
      <c r="E371" s="37"/>
      <c r="F371" s="37"/>
      <c r="G371" s="37"/>
      <c r="H371" s="37"/>
      <c r="I371" s="37"/>
      <c r="J371" s="37"/>
      <c r="K371" s="37"/>
      <c r="L371" s="37"/>
      <c r="M371" s="37"/>
      <c r="N371" s="37"/>
      <c r="O371" s="37"/>
      <c r="P371" s="37"/>
      <c r="Q371" s="37"/>
      <c r="R371" s="37"/>
      <c r="S371" s="37"/>
      <c r="T371" s="37"/>
      <c r="U371" s="37"/>
      <c r="V371" s="37"/>
      <c r="W371" s="37"/>
      <c r="X371" s="37"/>
      <c r="Y371" s="37"/>
      <c r="Z371" s="37"/>
      <c r="AA371" s="37"/>
      <c r="AB371" s="37"/>
      <c r="AC371" s="37"/>
      <c r="AD371" s="37"/>
      <c r="AE371" s="37"/>
    </row>
    <row r="372" spans="1:31" x14ac:dyDescent="0.25">
      <c r="A372" s="37"/>
      <c r="B372" s="37"/>
      <c r="C372" s="37"/>
      <c r="D372" s="37"/>
      <c r="E372" s="37"/>
      <c r="F372" s="37"/>
      <c r="G372" s="37"/>
      <c r="H372" s="37"/>
      <c r="I372" s="37"/>
      <c r="J372" s="37"/>
      <c r="K372" s="37"/>
      <c r="L372" s="37"/>
      <c r="M372" s="37"/>
      <c r="N372" s="37"/>
      <c r="O372" s="37"/>
      <c r="P372" s="37"/>
      <c r="Q372" s="37"/>
      <c r="R372" s="37"/>
      <c r="S372" s="37"/>
      <c r="T372" s="37"/>
      <c r="U372" s="37"/>
      <c r="V372" s="37"/>
      <c r="W372" s="37"/>
      <c r="X372" s="37"/>
      <c r="Y372" s="37"/>
      <c r="Z372" s="37"/>
      <c r="AA372" s="37"/>
      <c r="AB372" s="37"/>
      <c r="AC372" s="37"/>
      <c r="AD372" s="37"/>
      <c r="AE372" s="37"/>
    </row>
    <row r="373" spans="1:31" x14ac:dyDescent="0.25">
      <c r="A373" s="37"/>
      <c r="B373" s="37"/>
      <c r="C373" s="37"/>
      <c r="D373" s="37"/>
      <c r="E373" s="37"/>
      <c r="F373" s="37"/>
      <c r="G373" s="37"/>
      <c r="H373" s="37"/>
      <c r="I373" s="37"/>
      <c r="J373" s="37"/>
      <c r="K373" s="37"/>
      <c r="L373" s="37"/>
      <c r="M373" s="37"/>
      <c r="N373" s="37"/>
      <c r="O373" s="37"/>
      <c r="P373" s="37"/>
      <c r="Q373" s="37"/>
      <c r="R373" s="37"/>
      <c r="S373" s="37"/>
      <c r="T373" s="37"/>
      <c r="U373" s="37"/>
      <c r="V373" s="37"/>
      <c r="W373" s="37"/>
      <c r="X373" s="37"/>
      <c r="Y373" s="37"/>
      <c r="Z373" s="37"/>
      <c r="AA373" s="37"/>
      <c r="AB373" s="37"/>
      <c r="AC373" s="37"/>
      <c r="AD373" s="37"/>
      <c r="AE373" s="37"/>
    </row>
    <row r="374" spans="1:31" x14ac:dyDescent="0.25">
      <c r="A374" s="37"/>
      <c r="B374" s="37"/>
      <c r="C374" s="37"/>
      <c r="D374" s="37"/>
      <c r="E374" s="37"/>
      <c r="F374" s="37"/>
      <c r="G374" s="37"/>
      <c r="H374" s="37"/>
      <c r="I374" s="37"/>
      <c r="J374" s="37"/>
      <c r="K374" s="37"/>
      <c r="L374" s="37"/>
      <c r="M374" s="37"/>
      <c r="N374" s="37"/>
      <c r="O374" s="37"/>
      <c r="P374" s="37"/>
      <c r="Q374" s="37"/>
      <c r="R374" s="37"/>
      <c r="S374" s="37"/>
      <c r="T374" s="37"/>
      <c r="U374" s="37"/>
      <c r="V374" s="37"/>
      <c r="W374" s="37"/>
      <c r="X374" s="37"/>
      <c r="Y374" s="37"/>
      <c r="Z374" s="37"/>
      <c r="AA374" s="37"/>
      <c r="AB374" s="37"/>
      <c r="AC374" s="37"/>
      <c r="AD374" s="37"/>
      <c r="AE374" s="37"/>
    </row>
    <row r="375" spans="1:31" x14ac:dyDescent="0.25">
      <c r="A375" s="37"/>
      <c r="B375" s="37"/>
      <c r="C375" s="37"/>
      <c r="D375" s="37"/>
      <c r="E375" s="37"/>
      <c r="F375" s="37"/>
      <c r="G375" s="37"/>
      <c r="H375" s="37"/>
      <c r="I375" s="37"/>
      <c r="J375" s="37"/>
      <c r="K375" s="37"/>
      <c r="L375" s="37"/>
      <c r="M375" s="37"/>
      <c r="N375" s="37"/>
      <c r="O375" s="37"/>
      <c r="P375" s="37"/>
      <c r="Q375" s="37"/>
      <c r="R375" s="37"/>
      <c r="S375" s="37"/>
      <c r="T375" s="37"/>
      <c r="U375" s="37"/>
      <c r="V375" s="37"/>
      <c r="W375" s="37"/>
      <c r="X375" s="37"/>
      <c r="Y375" s="37"/>
      <c r="Z375" s="37"/>
      <c r="AA375" s="37"/>
      <c r="AB375" s="37"/>
      <c r="AC375" s="37"/>
      <c r="AD375" s="37"/>
      <c r="AE375" s="37"/>
    </row>
    <row r="376" spans="1:31" x14ac:dyDescent="0.25">
      <c r="A376" s="37"/>
      <c r="B376" s="37"/>
      <c r="C376" s="37"/>
      <c r="D376" s="37"/>
      <c r="E376" s="37"/>
      <c r="F376" s="37"/>
      <c r="G376" s="37"/>
      <c r="H376" s="37"/>
      <c r="I376" s="37"/>
      <c r="J376" s="37"/>
      <c r="K376" s="37"/>
      <c r="L376" s="37"/>
      <c r="M376" s="37"/>
      <c r="N376" s="37"/>
      <c r="O376" s="37"/>
      <c r="P376" s="37"/>
      <c r="Q376" s="37"/>
      <c r="R376" s="37"/>
      <c r="S376" s="37"/>
      <c r="T376" s="37"/>
      <c r="U376" s="37"/>
      <c r="V376" s="37"/>
      <c r="W376" s="37"/>
      <c r="X376" s="37"/>
      <c r="Y376" s="37"/>
      <c r="Z376" s="37"/>
      <c r="AA376" s="37"/>
      <c r="AB376" s="37"/>
      <c r="AC376" s="37"/>
      <c r="AD376" s="37"/>
      <c r="AE376" s="37"/>
    </row>
    <row r="377" spans="1:31" x14ac:dyDescent="0.25">
      <c r="A377" s="37"/>
      <c r="B377" s="37"/>
      <c r="C377" s="37"/>
      <c r="D377" s="37"/>
      <c r="E377" s="37"/>
      <c r="F377" s="37"/>
      <c r="G377" s="37"/>
      <c r="H377" s="37"/>
      <c r="I377" s="37"/>
      <c r="J377" s="37"/>
      <c r="K377" s="37"/>
      <c r="L377" s="37"/>
      <c r="M377" s="37"/>
      <c r="N377" s="37"/>
      <c r="O377" s="37"/>
      <c r="P377" s="37"/>
      <c r="Q377" s="37"/>
      <c r="R377" s="37"/>
      <c r="S377" s="37"/>
      <c r="T377" s="37"/>
      <c r="U377" s="37"/>
      <c r="V377" s="37"/>
      <c r="W377" s="37"/>
      <c r="X377" s="37"/>
      <c r="Y377" s="37"/>
      <c r="Z377" s="37"/>
      <c r="AA377" s="37"/>
      <c r="AB377" s="37"/>
      <c r="AC377" s="37"/>
      <c r="AD377" s="37"/>
      <c r="AE377" s="37"/>
    </row>
    <row r="378" spans="1:31" x14ac:dyDescent="0.25">
      <c r="A378" s="37"/>
      <c r="B378" s="37"/>
      <c r="C378" s="37"/>
      <c r="D378" s="37"/>
      <c r="E378" s="37"/>
      <c r="F378" s="37"/>
      <c r="G378" s="37"/>
      <c r="H378" s="37"/>
      <c r="I378" s="37"/>
      <c r="J378" s="37"/>
      <c r="K378" s="37"/>
      <c r="L378" s="37"/>
      <c r="M378" s="37"/>
      <c r="N378" s="37"/>
      <c r="O378" s="37"/>
      <c r="P378" s="37"/>
      <c r="Q378" s="37"/>
      <c r="R378" s="37"/>
      <c r="S378" s="37"/>
      <c r="T378" s="37"/>
      <c r="U378" s="37"/>
      <c r="V378" s="37"/>
      <c r="W378" s="37"/>
      <c r="X378" s="37"/>
      <c r="Y378" s="37"/>
      <c r="Z378" s="37"/>
      <c r="AA378" s="37"/>
      <c r="AB378" s="37"/>
      <c r="AC378" s="37"/>
      <c r="AD378" s="37"/>
      <c r="AE378" s="37"/>
    </row>
    <row r="379" spans="1:31" x14ac:dyDescent="0.25">
      <c r="A379" s="37"/>
      <c r="B379" s="37"/>
      <c r="C379" s="37"/>
      <c r="D379" s="37"/>
      <c r="E379" s="37"/>
      <c r="F379" s="37"/>
      <c r="G379" s="37"/>
      <c r="H379" s="37"/>
      <c r="I379" s="37"/>
      <c r="J379" s="37"/>
      <c r="K379" s="37"/>
      <c r="L379" s="37"/>
      <c r="M379" s="37"/>
      <c r="N379" s="37"/>
      <c r="O379" s="37"/>
      <c r="P379" s="37"/>
      <c r="Q379" s="37"/>
      <c r="R379" s="37"/>
      <c r="S379" s="37"/>
      <c r="T379" s="37"/>
      <c r="U379" s="37"/>
      <c r="V379" s="37"/>
      <c r="W379" s="37"/>
      <c r="X379" s="37"/>
      <c r="Y379" s="37"/>
      <c r="Z379" s="37"/>
      <c r="AA379" s="37"/>
      <c r="AB379" s="37"/>
      <c r="AC379" s="37"/>
      <c r="AD379" s="37"/>
      <c r="AE379" s="37"/>
    </row>
    <row r="380" spans="1:31" x14ac:dyDescent="0.25">
      <c r="A380" s="37"/>
      <c r="B380" s="37"/>
      <c r="C380" s="37"/>
      <c r="D380" s="37"/>
      <c r="E380" s="37"/>
      <c r="F380" s="37"/>
      <c r="G380" s="37"/>
      <c r="H380" s="37"/>
      <c r="I380" s="37"/>
      <c r="J380" s="37"/>
      <c r="K380" s="37"/>
      <c r="L380" s="37"/>
      <c r="M380" s="37"/>
      <c r="N380" s="37"/>
      <c r="O380" s="37"/>
      <c r="P380" s="37"/>
      <c r="Q380" s="37"/>
      <c r="R380" s="37"/>
      <c r="S380" s="37"/>
      <c r="T380" s="37"/>
      <c r="U380" s="37"/>
      <c r="V380" s="37"/>
      <c r="W380" s="37"/>
      <c r="X380" s="37"/>
      <c r="Y380" s="37"/>
      <c r="Z380" s="37"/>
      <c r="AA380" s="37"/>
      <c r="AB380" s="37"/>
      <c r="AC380" s="37"/>
      <c r="AD380" s="37"/>
      <c r="AE380" s="37"/>
    </row>
    <row r="381" spans="1:31" x14ac:dyDescent="0.25">
      <c r="A381" s="37"/>
      <c r="B381" s="37"/>
      <c r="C381" s="37"/>
      <c r="D381" s="37"/>
      <c r="E381" s="37"/>
      <c r="F381" s="37"/>
      <c r="G381" s="37"/>
      <c r="H381" s="37"/>
      <c r="I381" s="37"/>
      <c r="J381" s="37"/>
      <c r="K381" s="37"/>
      <c r="L381" s="37"/>
      <c r="M381" s="37"/>
      <c r="N381" s="37"/>
      <c r="O381" s="37"/>
      <c r="P381" s="37"/>
      <c r="Q381" s="37"/>
      <c r="R381" s="37"/>
      <c r="S381" s="37"/>
      <c r="T381" s="37"/>
      <c r="U381" s="37"/>
      <c r="V381" s="37"/>
      <c r="W381" s="37"/>
      <c r="X381" s="37"/>
      <c r="Y381" s="37"/>
      <c r="Z381" s="37"/>
      <c r="AA381" s="37"/>
      <c r="AB381" s="37"/>
      <c r="AC381" s="37"/>
      <c r="AD381" s="37"/>
      <c r="AE381" s="37"/>
    </row>
    <row r="382" spans="1:31" x14ac:dyDescent="0.25">
      <c r="A382" s="37"/>
      <c r="B382" s="37"/>
      <c r="C382" s="37"/>
      <c r="D382" s="37"/>
      <c r="E382" s="37"/>
      <c r="F382" s="37"/>
      <c r="G382" s="37"/>
      <c r="H382" s="37"/>
      <c r="I382" s="37"/>
      <c r="J382" s="37"/>
      <c r="K382" s="37"/>
      <c r="L382" s="37"/>
      <c r="M382" s="37"/>
      <c r="N382" s="37"/>
      <c r="O382" s="37"/>
      <c r="P382" s="37"/>
      <c r="Q382" s="37"/>
      <c r="R382" s="37"/>
      <c r="S382" s="37"/>
      <c r="T382" s="37"/>
      <c r="U382" s="37"/>
      <c r="V382" s="37"/>
      <c r="W382" s="37"/>
      <c r="X382" s="37"/>
      <c r="Y382" s="37"/>
      <c r="Z382" s="37"/>
      <c r="AA382" s="37"/>
      <c r="AB382" s="37"/>
      <c r="AC382" s="37"/>
      <c r="AD382" s="37"/>
      <c r="AE382" s="37"/>
    </row>
    <row r="383" spans="1:31" x14ac:dyDescent="0.25">
      <c r="A383" s="37"/>
      <c r="B383" s="37"/>
      <c r="C383" s="37"/>
      <c r="D383" s="37"/>
      <c r="E383" s="37"/>
      <c r="F383" s="37"/>
      <c r="G383" s="37"/>
      <c r="H383" s="37"/>
      <c r="I383" s="37"/>
      <c r="J383" s="37"/>
      <c r="K383" s="37"/>
      <c r="L383" s="37"/>
      <c r="M383" s="37"/>
      <c r="N383" s="37"/>
      <c r="O383" s="37"/>
      <c r="P383" s="37"/>
      <c r="Q383" s="37"/>
      <c r="R383" s="37"/>
      <c r="S383" s="37"/>
      <c r="T383" s="37"/>
      <c r="U383" s="37"/>
      <c r="V383" s="37"/>
      <c r="W383" s="37"/>
      <c r="X383" s="37"/>
      <c r="Y383" s="37"/>
      <c r="Z383" s="37"/>
      <c r="AA383" s="37"/>
      <c r="AB383" s="37"/>
      <c r="AC383" s="37"/>
      <c r="AD383" s="37"/>
      <c r="AE383" s="37"/>
    </row>
    <row r="384" spans="1:31" x14ac:dyDescent="0.25">
      <c r="A384" s="37"/>
      <c r="B384" s="37"/>
      <c r="C384" s="37"/>
      <c r="D384" s="37"/>
      <c r="E384" s="37"/>
      <c r="F384" s="37"/>
      <c r="G384" s="37"/>
      <c r="H384" s="37"/>
      <c r="I384" s="37"/>
      <c r="J384" s="37"/>
      <c r="K384" s="37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  <c r="AA384" s="37"/>
      <c r="AB384" s="37"/>
      <c r="AC384" s="37"/>
      <c r="AD384" s="37"/>
      <c r="AE384" s="37"/>
    </row>
    <row r="385" spans="1:31" x14ac:dyDescent="0.25">
      <c r="A385" s="37"/>
      <c r="B385" s="37"/>
      <c r="C385" s="37"/>
      <c r="D385" s="37"/>
      <c r="E385" s="37"/>
      <c r="F385" s="37"/>
      <c r="G385" s="37"/>
      <c r="H385" s="37"/>
      <c r="I385" s="37"/>
      <c r="J385" s="37"/>
      <c r="K385" s="37"/>
      <c r="L385" s="37"/>
      <c r="M385" s="37"/>
      <c r="N385" s="37"/>
      <c r="O385" s="37"/>
      <c r="P385" s="37"/>
      <c r="Q385" s="37"/>
      <c r="R385" s="37"/>
      <c r="S385" s="37"/>
      <c r="T385" s="37"/>
      <c r="U385" s="37"/>
      <c r="V385" s="37"/>
      <c r="W385" s="37"/>
      <c r="X385" s="37"/>
      <c r="Y385" s="37"/>
      <c r="Z385" s="37"/>
      <c r="AA385" s="37"/>
      <c r="AB385" s="37"/>
      <c r="AC385" s="37"/>
      <c r="AD385" s="37"/>
      <c r="AE385" s="37"/>
    </row>
    <row r="386" spans="1:31" x14ac:dyDescent="0.25">
      <c r="A386" s="37"/>
      <c r="B386" s="37"/>
      <c r="C386" s="37"/>
      <c r="D386" s="37"/>
      <c r="E386" s="37"/>
      <c r="F386" s="37"/>
      <c r="G386" s="37"/>
      <c r="H386" s="37"/>
      <c r="I386" s="37"/>
      <c r="J386" s="37"/>
      <c r="K386" s="37"/>
      <c r="L386" s="37"/>
      <c r="M386" s="37"/>
      <c r="N386" s="37"/>
      <c r="O386" s="37"/>
      <c r="P386" s="37"/>
      <c r="Q386" s="37"/>
      <c r="R386" s="37"/>
      <c r="S386" s="37"/>
      <c r="T386" s="37"/>
      <c r="U386" s="37"/>
      <c r="V386" s="37"/>
      <c r="W386" s="37"/>
      <c r="X386" s="37"/>
      <c r="Y386" s="37"/>
      <c r="Z386" s="37"/>
      <c r="AA386" s="37"/>
      <c r="AB386" s="37"/>
      <c r="AC386" s="37"/>
      <c r="AD386" s="37"/>
      <c r="AE386" s="37"/>
    </row>
    <row r="387" spans="1:31" x14ac:dyDescent="0.25">
      <c r="A387" s="37"/>
      <c r="B387" s="37"/>
      <c r="C387" s="37"/>
      <c r="D387" s="37"/>
      <c r="E387" s="37"/>
      <c r="F387" s="37"/>
      <c r="G387" s="37"/>
      <c r="H387" s="37"/>
      <c r="I387" s="37"/>
      <c r="J387" s="37"/>
      <c r="K387" s="37"/>
      <c r="L387" s="37"/>
      <c r="M387" s="37"/>
      <c r="N387" s="37"/>
      <c r="O387" s="37"/>
      <c r="P387" s="37"/>
      <c r="Q387" s="37"/>
      <c r="R387" s="37"/>
      <c r="S387" s="37"/>
      <c r="T387" s="37"/>
      <c r="U387" s="37"/>
      <c r="V387" s="37"/>
      <c r="W387" s="37"/>
      <c r="X387" s="37"/>
      <c r="Y387" s="37"/>
      <c r="Z387" s="37"/>
      <c r="AA387" s="37"/>
      <c r="AB387" s="37"/>
      <c r="AC387" s="37"/>
      <c r="AD387" s="37"/>
      <c r="AE387" s="37"/>
    </row>
    <row r="388" spans="1:31" x14ac:dyDescent="0.25">
      <c r="A388" s="37"/>
      <c r="B388" s="37"/>
      <c r="C388" s="37"/>
      <c r="D388" s="37"/>
      <c r="E388" s="37"/>
      <c r="F388" s="37"/>
      <c r="G388" s="37"/>
      <c r="H388" s="37"/>
      <c r="I388" s="37"/>
      <c r="J388" s="37"/>
      <c r="K388" s="37"/>
      <c r="L388" s="37"/>
      <c r="M388" s="37"/>
      <c r="N388" s="37"/>
      <c r="O388" s="37"/>
      <c r="P388" s="37"/>
      <c r="Q388" s="37"/>
      <c r="R388" s="37"/>
      <c r="S388" s="37"/>
      <c r="T388" s="37"/>
      <c r="U388" s="37"/>
      <c r="V388" s="37"/>
      <c r="W388" s="37"/>
      <c r="X388" s="37"/>
      <c r="Y388" s="37"/>
      <c r="Z388" s="37"/>
      <c r="AA388" s="37"/>
      <c r="AB388" s="37"/>
      <c r="AC388" s="37"/>
      <c r="AD388" s="37"/>
      <c r="AE388" s="37"/>
    </row>
    <row r="389" spans="1:31" x14ac:dyDescent="0.25">
      <c r="A389" s="37"/>
      <c r="B389" s="37"/>
      <c r="C389" s="37"/>
      <c r="D389" s="37"/>
      <c r="E389" s="37"/>
      <c r="F389" s="37"/>
      <c r="G389" s="37"/>
      <c r="H389" s="37"/>
      <c r="I389" s="37"/>
      <c r="J389" s="37"/>
      <c r="K389" s="37"/>
      <c r="L389" s="37"/>
      <c r="M389" s="37"/>
      <c r="N389" s="37"/>
      <c r="O389" s="37"/>
      <c r="P389" s="37"/>
      <c r="Q389" s="37"/>
      <c r="R389" s="37"/>
      <c r="S389" s="37"/>
      <c r="T389" s="37"/>
      <c r="U389" s="37"/>
      <c r="V389" s="37"/>
      <c r="W389" s="37"/>
      <c r="X389" s="37"/>
      <c r="Y389" s="37"/>
      <c r="Z389" s="37"/>
      <c r="AA389" s="37"/>
      <c r="AB389" s="37"/>
      <c r="AC389" s="37"/>
      <c r="AD389" s="37"/>
      <c r="AE389" s="37"/>
    </row>
    <row r="390" spans="1:31" x14ac:dyDescent="0.25">
      <c r="A390" s="37"/>
      <c r="B390" s="37"/>
      <c r="C390" s="37"/>
      <c r="D390" s="37"/>
      <c r="E390" s="37"/>
      <c r="F390" s="37"/>
      <c r="G390" s="37"/>
      <c r="H390" s="37"/>
      <c r="I390" s="37"/>
      <c r="J390" s="37"/>
      <c r="K390" s="37"/>
      <c r="L390" s="37"/>
      <c r="M390" s="37"/>
      <c r="N390" s="37"/>
      <c r="O390" s="37"/>
      <c r="P390" s="37"/>
      <c r="Q390" s="37"/>
      <c r="R390" s="37"/>
      <c r="S390" s="37"/>
      <c r="T390" s="37"/>
      <c r="U390" s="37"/>
      <c r="V390" s="37"/>
      <c r="W390" s="37"/>
      <c r="X390" s="37"/>
      <c r="Y390" s="37"/>
      <c r="Z390" s="37"/>
      <c r="AA390" s="37"/>
      <c r="AB390" s="37"/>
      <c r="AC390" s="37"/>
      <c r="AD390" s="37"/>
      <c r="AE390" s="37"/>
    </row>
    <row r="391" spans="1:31" x14ac:dyDescent="0.25">
      <c r="A391" s="37"/>
      <c r="B391" s="37"/>
      <c r="C391" s="37"/>
      <c r="D391" s="37"/>
      <c r="E391" s="37"/>
      <c r="F391" s="37"/>
      <c r="G391" s="37"/>
      <c r="H391" s="37"/>
      <c r="I391" s="37"/>
      <c r="J391" s="37"/>
      <c r="K391" s="37"/>
      <c r="L391" s="37"/>
      <c r="M391" s="37"/>
      <c r="N391" s="37"/>
      <c r="O391" s="37"/>
      <c r="P391" s="37"/>
      <c r="Q391" s="37"/>
      <c r="R391" s="37"/>
      <c r="S391" s="37"/>
      <c r="T391" s="37"/>
      <c r="U391" s="37"/>
      <c r="V391" s="37"/>
      <c r="W391" s="37"/>
      <c r="X391" s="37"/>
      <c r="Y391" s="37"/>
      <c r="Z391" s="37"/>
      <c r="AA391" s="37"/>
      <c r="AB391" s="37"/>
      <c r="AC391" s="37"/>
      <c r="AD391" s="37"/>
      <c r="AE391" s="37"/>
    </row>
    <row r="392" spans="1:31" x14ac:dyDescent="0.25">
      <c r="A392" s="37"/>
      <c r="B392" s="37"/>
      <c r="C392" s="37"/>
      <c r="D392" s="37"/>
      <c r="E392" s="37"/>
      <c r="F392" s="37"/>
      <c r="G392" s="37"/>
      <c r="H392" s="37"/>
      <c r="I392" s="37"/>
      <c r="J392" s="37"/>
      <c r="K392" s="37"/>
      <c r="L392" s="37"/>
      <c r="M392" s="37"/>
      <c r="N392" s="37"/>
      <c r="O392" s="37"/>
      <c r="P392" s="37"/>
      <c r="Q392" s="37"/>
      <c r="R392" s="37"/>
      <c r="S392" s="37"/>
      <c r="T392" s="37"/>
      <c r="U392" s="37"/>
      <c r="V392" s="37"/>
      <c r="W392" s="37"/>
      <c r="X392" s="37"/>
      <c r="Y392" s="37"/>
      <c r="Z392" s="37"/>
      <c r="AA392" s="37"/>
      <c r="AB392" s="37"/>
      <c r="AC392" s="37"/>
      <c r="AD392" s="37"/>
      <c r="AE392" s="37"/>
    </row>
    <row r="393" spans="1:31" x14ac:dyDescent="0.25">
      <c r="A393" s="37"/>
      <c r="B393" s="37"/>
      <c r="C393" s="37"/>
      <c r="D393" s="37"/>
      <c r="E393" s="37"/>
      <c r="F393" s="37"/>
      <c r="G393" s="37"/>
      <c r="H393" s="37"/>
      <c r="I393" s="37"/>
      <c r="J393" s="37"/>
      <c r="K393" s="37"/>
      <c r="L393" s="37"/>
      <c r="M393" s="37"/>
      <c r="N393" s="37"/>
      <c r="O393" s="37"/>
      <c r="P393" s="37"/>
      <c r="Q393" s="37"/>
      <c r="R393" s="37"/>
      <c r="S393" s="37"/>
      <c r="T393" s="37"/>
      <c r="U393" s="37"/>
      <c r="V393" s="37"/>
      <c r="W393" s="37"/>
      <c r="X393" s="37"/>
      <c r="Y393" s="37"/>
      <c r="Z393" s="37"/>
      <c r="AA393" s="37"/>
      <c r="AB393" s="37"/>
      <c r="AC393" s="37"/>
      <c r="AD393" s="37"/>
      <c r="AE393" s="37"/>
    </row>
    <row r="394" spans="1:31" x14ac:dyDescent="0.25">
      <c r="A394" s="37"/>
      <c r="B394" s="37"/>
      <c r="C394" s="37"/>
      <c r="D394" s="37"/>
      <c r="E394" s="37"/>
      <c r="F394" s="37"/>
      <c r="G394" s="37"/>
      <c r="H394" s="37"/>
      <c r="I394" s="37"/>
      <c r="J394" s="37"/>
      <c r="K394" s="37"/>
      <c r="L394" s="37"/>
      <c r="M394" s="37"/>
      <c r="N394" s="37"/>
      <c r="O394" s="37"/>
      <c r="P394" s="37"/>
      <c r="Q394" s="37"/>
      <c r="R394" s="37"/>
      <c r="S394" s="37"/>
      <c r="T394" s="37"/>
      <c r="U394" s="37"/>
      <c r="V394" s="37"/>
      <c r="W394" s="37"/>
      <c r="X394" s="37"/>
      <c r="Y394" s="37"/>
      <c r="Z394" s="37"/>
      <c r="AA394" s="37"/>
      <c r="AB394" s="37"/>
      <c r="AC394" s="37"/>
      <c r="AD394" s="37"/>
      <c r="AE394" s="37"/>
    </row>
    <row r="395" spans="1:31" x14ac:dyDescent="0.25">
      <c r="A395" s="37"/>
      <c r="B395" s="37"/>
      <c r="C395" s="37"/>
      <c r="D395" s="37"/>
      <c r="E395" s="37"/>
      <c r="F395" s="37"/>
      <c r="G395" s="37"/>
      <c r="H395" s="37"/>
      <c r="I395" s="37"/>
      <c r="J395" s="37"/>
      <c r="K395" s="37"/>
      <c r="L395" s="37"/>
      <c r="M395" s="37"/>
      <c r="N395" s="37"/>
      <c r="O395" s="37"/>
      <c r="P395" s="37"/>
      <c r="Q395" s="37"/>
      <c r="R395" s="37"/>
      <c r="S395" s="37"/>
      <c r="T395" s="37"/>
      <c r="U395" s="37"/>
      <c r="V395" s="37"/>
      <c r="W395" s="37"/>
      <c r="X395" s="37"/>
      <c r="Y395" s="37"/>
      <c r="Z395" s="37"/>
      <c r="AA395" s="37"/>
      <c r="AB395" s="37"/>
      <c r="AC395" s="37"/>
      <c r="AD395" s="37"/>
      <c r="AE395" s="37"/>
    </row>
    <row r="396" spans="1:31" x14ac:dyDescent="0.25">
      <c r="A396" s="37"/>
      <c r="B396" s="37"/>
      <c r="C396" s="37"/>
      <c r="D396" s="37"/>
      <c r="E396" s="37"/>
      <c r="F396" s="37"/>
      <c r="G396" s="37"/>
      <c r="H396" s="37"/>
      <c r="I396" s="37"/>
      <c r="J396" s="37"/>
      <c r="K396" s="37"/>
      <c r="L396" s="37"/>
      <c r="M396" s="37"/>
      <c r="N396" s="37"/>
      <c r="O396" s="37"/>
      <c r="P396" s="37"/>
      <c r="Q396" s="37"/>
      <c r="R396" s="37"/>
      <c r="S396" s="37"/>
      <c r="T396" s="37"/>
      <c r="U396" s="37"/>
      <c r="V396" s="37"/>
      <c r="W396" s="37"/>
      <c r="X396" s="37"/>
      <c r="Y396" s="37"/>
      <c r="Z396" s="37"/>
      <c r="AA396" s="37"/>
      <c r="AB396" s="37"/>
      <c r="AC396" s="37"/>
      <c r="AD396" s="37"/>
      <c r="AE396" s="37"/>
    </row>
    <row r="397" spans="1:31" x14ac:dyDescent="0.25">
      <c r="A397" s="37"/>
      <c r="B397" s="37"/>
      <c r="C397" s="37"/>
      <c r="D397" s="37"/>
      <c r="E397" s="37"/>
      <c r="F397" s="37"/>
      <c r="G397" s="37"/>
      <c r="H397" s="37"/>
      <c r="I397" s="37"/>
      <c r="J397" s="37"/>
      <c r="K397" s="37"/>
      <c r="L397" s="37"/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  <c r="AA397" s="37"/>
      <c r="AB397" s="37"/>
      <c r="AC397" s="37"/>
      <c r="AD397" s="37"/>
      <c r="AE397" s="37"/>
    </row>
    <row r="398" spans="1:31" x14ac:dyDescent="0.25">
      <c r="A398" s="37"/>
      <c r="B398" s="37"/>
      <c r="C398" s="37"/>
      <c r="D398" s="37"/>
      <c r="E398" s="37"/>
      <c r="F398" s="37"/>
      <c r="G398" s="37"/>
      <c r="H398" s="37"/>
      <c r="I398" s="37"/>
      <c r="J398" s="37"/>
      <c r="K398" s="37"/>
      <c r="L398" s="37"/>
      <c r="M398" s="37"/>
      <c r="N398" s="37"/>
      <c r="O398" s="37"/>
      <c r="P398" s="37"/>
      <c r="Q398" s="37"/>
      <c r="R398" s="37"/>
      <c r="S398" s="37"/>
      <c r="T398" s="37"/>
      <c r="U398" s="37"/>
      <c r="V398" s="37"/>
      <c r="W398" s="37"/>
      <c r="X398" s="37"/>
      <c r="Y398" s="37"/>
      <c r="Z398" s="37"/>
      <c r="AA398" s="37"/>
      <c r="AB398" s="37"/>
      <c r="AC398" s="37"/>
      <c r="AD398" s="37"/>
      <c r="AE398" s="37"/>
    </row>
    <row r="399" spans="1:31" x14ac:dyDescent="0.25">
      <c r="A399" s="37"/>
      <c r="B399" s="37"/>
      <c r="C399" s="37"/>
      <c r="D399" s="37"/>
      <c r="E399" s="37"/>
      <c r="F399" s="37"/>
      <c r="G399" s="37"/>
      <c r="H399" s="37"/>
      <c r="I399" s="37"/>
      <c r="J399" s="37"/>
      <c r="K399" s="37"/>
      <c r="L399" s="37"/>
      <c r="M399" s="37"/>
      <c r="N399" s="37"/>
      <c r="O399" s="37"/>
      <c r="P399" s="37"/>
      <c r="Q399" s="37"/>
      <c r="R399" s="37"/>
      <c r="S399" s="37"/>
      <c r="T399" s="37"/>
      <c r="U399" s="37"/>
      <c r="V399" s="37"/>
      <c r="W399" s="37"/>
      <c r="X399" s="37"/>
      <c r="Y399" s="37"/>
      <c r="Z399" s="37"/>
      <c r="AA399" s="37"/>
      <c r="AB399" s="37"/>
      <c r="AC399" s="37"/>
      <c r="AD399" s="37"/>
      <c r="AE399" s="37"/>
    </row>
    <row r="400" spans="1:31" x14ac:dyDescent="0.25">
      <c r="A400" s="37"/>
      <c r="B400" s="37"/>
      <c r="C400" s="37"/>
      <c r="D400" s="37"/>
      <c r="E400" s="37"/>
      <c r="F400" s="37"/>
      <c r="G400" s="37"/>
      <c r="H400" s="37"/>
      <c r="I400" s="37"/>
      <c r="J400" s="37"/>
      <c r="K400" s="37"/>
      <c r="L400" s="37"/>
      <c r="M400" s="37"/>
      <c r="N400" s="37"/>
      <c r="O400" s="37"/>
      <c r="P400" s="37"/>
      <c r="Q400" s="37"/>
      <c r="R400" s="37"/>
      <c r="S400" s="37"/>
      <c r="T400" s="37"/>
      <c r="U400" s="37"/>
      <c r="V400" s="37"/>
      <c r="W400" s="37"/>
      <c r="X400" s="37"/>
      <c r="Y400" s="37"/>
      <c r="Z400" s="37"/>
      <c r="AA400" s="37"/>
      <c r="AB400" s="37"/>
      <c r="AC400" s="37"/>
      <c r="AD400" s="37"/>
      <c r="AE400" s="37"/>
    </row>
    <row r="401" spans="1:31" x14ac:dyDescent="0.25">
      <c r="A401" s="37"/>
      <c r="B401" s="37"/>
      <c r="C401" s="37"/>
      <c r="D401" s="37"/>
      <c r="E401" s="37"/>
      <c r="F401" s="37"/>
      <c r="G401" s="37"/>
      <c r="H401" s="37"/>
      <c r="I401" s="37"/>
      <c r="J401" s="37"/>
      <c r="K401" s="37"/>
      <c r="L401" s="37"/>
      <c r="M401" s="37"/>
      <c r="N401" s="37"/>
      <c r="O401" s="37"/>
      <c r="P401" s="37"/>
      <c r="Q401" s="37"/>
      <c r="R401" s="37"/>
      <c r="S401" s="37"/>
      <c r="T401" s="37"/>
      <c r="U401" s="37"/>
      <c r="V401" s="37"/>
      <c r="W401" s="37"/>
      <c r="X401" s="37"/>
      <c r="Y401" s="37"/>
      <c r="Z401" s="37"/>
      <c r="AA401" s="37"/>
      <c r="AB401" s="37"/>
      <c r="AC401" s="37"/>
      <c r="AD401" s="37"/>
      <c r="AE401" s="37"/>
    </row>
    <row r="402" spans="1:31" x14ac:dyDescent="0.25">
      <c r="A402" s="37"/>
      <c r="B402" s="37"/>
      <c r="C402" s="37"/>
      <c r="D402" s="37"/>
      <c r="E402" s="37"/>
      <c r="F402" s="37"/>
      <c r="G402" s="37"/>
      <c r="H402" s="37"/>
      <c r="I402" s="37"/>
      <c r="J402" s="37"/>
      <c r="K402" s="37"/>
      <c r="L402" s="37"/>
      <c r="M402" s="37"/>
      <c r="N402" s="37"/>
      <c r="O402" s="37"/>
      <c r="P402" s="37"/>
      <c r="Q402" s="37"/>
      <c r="R402" s="37"/>
      <c r="S402" s="37"/>
      <c r="T402" s="37"/>
      <c r="U402" s="37"/>
      <c r="V402" s="37"/>
      <c r="W402" s="37"/>
      <c r="X402" s="37"/>
      <c r="Y402" s="37"/>
      <c r="Z402" s="37"/>
      <c r="AA402" s="37"/>
      <c r="AB402" s="37"/>
      <c r="AC402" s="37"/>
      <c r="AD402" s="37"/>
      <c r="AE402" s="37"/>
    </row>
    <row r="403" spans="1:31" x14ac:dyDescent="0.25">
      <c r="A403" s="37"/>
      <c r="B403" s="37"/>
      <c r="C403" s="37"/>
      <c r="D403" s="37"/>
      <c r="E403" s="37"/>
      <c r="F403" s="37"/>
      <c r="G403" s="37"/>
      <c r="H403" s="37"/>
      <c r="I403" s="37"/>
      <c r="J403" s="37"/>
      <c r="K403" s="37"/>
      <c r="L403" s="37"/>
      <c r="M403" s="37"/>
      <c r="N403" s="37"/>
      <c r="O403" s="37"/>
      <c r="P403" s="37"/>
      <c r="Q403" s="37"/>
      <c r="R403" s="37"/>
      <c r="S403" s="37"/>
      <c r="T403" s="37"/>
      <c r="U403" s="37"/>
      <c r="V403" s="37"/>
      <c r="W403" s="37"/>
      <c r="X403" s="37"/>
      <c r="Y403" s="37"/>
      <c r="Z403" s="37"/>
      <c r="AA403" s="37"/>
      <c r="AB403" s="37"/>
      <c r="AC403" s="37"/>
      <c r="AD403" s="37"/>
      <c r="AE403" s="37"/>
    </row>
    <row r="404" spans="1:31" x14ac:dyDescent="0.25">
      <c r="A404" s="37"/>
      <c r="B404" s="37"/>
      <c r="C404" s="37"/>
      <c r="D404" s="37"/>
      <c r="E404" s="37"/>
      <c r="F404" s="37"/>
      <c r="G404" s="37"/>
      <c r="H404" s="37"/>
      <c r="I404" s="37"/>
      <c r="J404" s="37"/>
      <c r="K404" s="37"/>
      <c r="L404" s="37"/>
      <c r="M404" s="37"/>
      <c r="N404" s="37"/>
      <c r="O404" s="37"/>
      <c r="P404" s="37"/>
      <c r="Q404" s="37"/>
      <c r="R404" s="37"/>
      <c r="S404" s="37"/>
      <c r="T404" s="37"/>
      <c r="U404" s="37"/>
      <c r="V404" s="37"/>
      <c r="W404" s="37"/>
      <c r="X404" s="37"/>
      <c r="Y404" s="37"/>
      <c r="Z404" s="37"/>
      <c r="AA404" s="37"/>
      <c r="AB404" s="37"/>
      <c r="AC404" s="37"/>
      <c r="AD404" s="37"/>
      <c r="AE404" s="37"/>
    </row>
    <row r="405" spans="1:31" x14ac:dyDescent="0.25">
      <c r="A405" s="37"/>
      <c r="B405" s="37"/>
      <c r="C405" s="37"/>
      <c r="D405" s="37"/>
      <c r="E405" s="37"/>
      <c r="F405" s="37"/>
      <c r="G405" s="37"/>
      <c r="H405" s="37"/>
      <c r="I405" s="37"/>
      <c r="J405" s="37"/>
      <c r="K405" s="37"/>
      <c r="L405" s="37"/>
      <c r="M405" s="37"/>
      <c r="N405" s="37"/>
      <c r="O405" s="37"/>
      <c r="P405" s="37"/>
      <c r="Q405" s="37"/>
      <c r="R405" s="37"/>
      <c r="S405" s="37"/>
      <c r="T405" s="37"/>
      <c r="U405" s="37"/>
      <c r="V405" s="37"/>
      <c r="W405" s="37"/>
      <c r="X405" s="37"/>
      <c r="Y405" s="37"/>
      <c r="Z405" s="37"/>
      <c r="AA405" s="37"/>
      <c r="AB405" s="37"/>
      <c r="AC405" s="37"/>
      <c r="AD405" s="37"/>
      <c r="AE405" s="37"/>
    </row>
    <row r="406" spans="1:31" x14ac:dyDescent="0.25">
      <c r="A406" s="37"/>
      <c r="B406" s="37"/>
      <c r="C406" s="37"/>
      <c r="D406" s="37"/>
      <c r="E406" s="37"/>
      <c r="F406" s="37"/>
      <c r="G406" s="37"/>
      <c r="H406" s="37"/>
      <c r="I406" s="37"/>
      <c r="J406" s="37"/>
      <c r="K406" s="37"/>
      <c r="L406" s="37"/>
      <c r="M406" s="37"/>
      <c r="N406" s="37"/>
      <c r="O406" s="37"/>
      <c r="P406" s="37"/>
      <c r="Q406" s="37"/>
      <c r="R406" s="37"/>
      <c r="S406" s="37"/>
      <c r="T406" s="37"/>
      <c r="U406" s="37"/>
      <c r="V406" s="37"/>
      <c r="W406" s="37"/>
      <c r="X406" s="37"/>
      <c r="Y406" s="37"/>
      <c r="Z406" s="37"/>
      <c r="AA406" s="37"/>
      <c r="AB406" s="37"/>
      <c r="AC406" s="37"/>
      <c r="AD406" s="37"/>
      <c r="AE406" s="37"/>
    </row>
    <row r="407" spans="1:31" x14ac:dyDescent="0.25">
      <c r="A407" s="37"/>
      <c r="B407" s="37"/>
      <c r="C407" s="37"/>
      <c r="D407" s="37"/>
      <c r="E407" s="37"/>
      <c r="F407" s="37"/>
      <c r="G407" s="37"/>
      <c r="H407" s="37"/>
      <c r="I407" s="37"/>
      <c r="J407" s="37"/>
      <c r="K407" s="37"/>
      <c r="L407" s="37"/>
      <c r="M407" s="37"/>
      <c r="N407" s="37"/>
      <c r="O407" s="37"/>
      <c r="P407" s="37"/>
      <c r="Q407" s="37"/>
      <c r="R407" s="37"/>
      <c r="S407" s="37"/>
      <c r="T407" s="37"/>
      <c r="U407" s="37"/>
      <c r="V407" s="37"/>
      <c r="W407" s="37"/>
      <c r="X407" s="37"/>
      <c r="Y407" s="37"/>
      <c r="Z407" s="37"/>
      <c r="AA407" s="37"/>
      <c r="AB407" s="37"/>
      <c r="AC407" s="37"/>
      <c r="AD407" s="37"/>
      <c r="AE407" s="37"/>
    </row>
    <row r="408" spans="1:31" x14ac:dyDescent="0.25">
      <c r="A408" s="37"/>
      <c r="B408" s="37"/>
      <c r="C408" s="37"/>
      <c r="D408" s="37"/>
      <c r="E408" s="37"/>
      <c r="F408" s="37"/>
      <c r="G408" s="37"/>
      <c r="H408" s="37"/>
      <c r="I408" s="37"/>
      <c r="J408" s="37"/>
      <c r="K408" s="37"/>
      <c r="L408" s="37"/>
      <c r="M408" s="37"/>
      <c r="N408" s="37"/>
      <c r="O408" s="37"/>
      <c r="P408" s="37"/>
      <c r="Q408" s="37"/>
      <c r="R408" s="37"/>
      <c r="S408" s="37"/>
      <c r="T408" s="37"/>
      <c r="U408" s="37"/>
      <c r="V408" s="37"/>
      <c r="W408" s="37"/>
      <c r="X408" s="37"/>
      <c r="Y408" s="37"/>
      <c r="Z408" s="37"/>
      <c r="AA408" s="37"/>
      <c r="AB408" s="37"/>
      <c r="AC408" s="37"/>
      <c r="AD408" s="37"/>
      <c r="AE408" s="37"/>
    </row>
    <row r="409" spans="1:31" x14ac:dyDescent="0.25">
      <c r="A409" s="37"/>
      <c r="B409" s="37"/>
      <c r="C409" s="37"/>
      <c r="D409" s="37"/>
      <c r="E409" s="37"/>
      <c r="F409" s="37"/>
      <c r="G409" s="37"/>
      <c r="H409" s="37"/>
      <c r="I409" s="37"/>
      <c r="J409" s="37"/>
      <c r="K409" s="37"/>
      <c r="L409" s="37"/>
      <c r="M409" s="37"/>
      <c r="N409" s="37"/>
      <c r="O409" s="37"/>
      <c r="P409" s="37"/>
      <c r="Q409" s="37"/>
      <c r="R409" s="37"/>
      <c r="S409" s="37"/>
      <c r="T409" s="37"/>
      <c r="U409" s="37"/>
      <c r="V409" s="37"/>
      <c r="W409" s="37"/>
      <c r="X409" s="37"/>
      <c r="Y409" s="37"/>
      <c r="Z409" s="37"/>
      <c r="AA409" s="37"/>
      <c r="AB409" s="37"/>
      <c r="AC409" s="37"/>
      <c r="AD409" s="37"/>
      <c r="AE409" s="37"/>
    </row>
    <row r="410" spans="1:31" x14ac:dyDescent="0.25">
      <c r="A410" s="37"/>
      <c r="B410" s="37"/>
      <c r="C410" s="37"/>
      <c r="D410" s="37"/>
      <c r="E410" s="37"/>
      <c r="F410" s="37"/>
      <c r="G410" s="37"/>
      <c r="H410" s="37"/>
      <c r="I410" s="37"/>
      <c r="J410" s="37"/>
      <c r="K410" s="37"/>
      <c r="L410" s="37"/>
      <c r="M410" s="37"/>
      <c r="N410" s="37"/>
      <c r="O410" s="37"/>
      <c r="P410" s="37"/>
      <c r="Q410" s="37"/>
      <c r="R410" s="37"/>
      <c r="S410" s="37"/>
      <c r="T410" s="37"/>
      <c r="U410" s="37"/>
      <c r="V410" s="37"/>
      <c r="W410" s="37"/>
      <c r="X410" s="37"/>
      <c r="Y410" s="37"/>
      <c r="Z410" s="37"/>
      <c r="AA410" s="37"/>
      <c r="AB410" s="37"/>
      <c r="AC410" s="37"/>
      <c r="AD410" s="37"/>
      <c r="AE410" s="37"/>
    </row>
    <row r="411" spans="1:31" x14ac:dyDescent="0.25">
      <c r="A411" s="37"/>
      <c r="B411" s="37"/>
      <c r="C411" s="37"/>
      <c r="D411" s="37"/>
      <c r="E411" s="37"/>
      <c r="F411" s="37"/>
      <c r="G411" s="37"/>
      <c r="H411" s="37"/>
      <c r="I411" s="37"/>
      <c r="J411" s="37"/>
      <c r="K411" s="37"/>
      <c r="L411" s="37"/>
      <c r="M411" s="37"/>
      <c r="N411" s="37"/>
      <c r="O411" s="37"/>
      <c r="P411" s="37"/>
      <c r="Q411" s="37"/>
      <c r="R411" s="37"/>
      <c r="S411" s="37"/>
      <c r="T411" s="37"/>
      <c r="U411" s="37"/>
      <c r="V411" s="37"/>
      <c r="W411" s="37"/>
      <c r="X411" s="37"/>
      <c r="Y411" s="37"/>
      <c r="Z411" s="37"/>
      <c r="AA411" s="37"/>
      <c r="AB411" s="37"/>
      <c r="AC411" s="37"/>
      <c r="AD411" s="37"/>
      <c r="AE411" s="37"/>
    </row>
    <row r="412" spans="1:31" x14ac:dyDescent="0.25">
      <c r="A412" s="37"/>
      <c r="B412" s="37"/>
      <c r="C412" s="37"/>
      <c r="D412" s="37"/>
      <c r="E412" s="37"/>
      <c r="F412" s="37"/>
      <c r="G412" s="37"/>
      <c r="H412" s="37"/>
      <c r="I412" s="37"/>
      <c r="J412" s="37"/>
      <c r="K412" s="37"/>
      <c r="L412" s="37"/>
      <c r="M412" s="37"/>
      <c r="N412" s="37"/>
      <c r="O412" s="37"/>
      <c r="P412" s="37"/>
      <c r="Q412" s="37"/>
      <c r="R412" s="37"/>
      <c r="S412" s="37"/>
      <c r="T412" s="37"/>
      <c r="U412" s="37"/>
      <c r="V412" s="37"/>
      <c r="W412" s="37"/>
      <c r="X412" s="37"/>
      <c r="Y412" s="37"/>
      <c r="Z412" s="37"/>
      <c r="AA412" s="37"/>
      <c r="AB412" s="37"/>
      <c r="AC412" s="37"/>
      <c r="AD412" s="37"/>
      <c r="AE412" s="37"/>
    </row>
    <row r="413" spans="1:31" x14ac:dyDescent="0.25">
      <c r="A413" s="37"/>
      <c r="B413" s="37"/>
      <c r="C413" s="37"/>
      <c r="D413" s="37"/>
      <c r="E413" s="37"/>
      <c r="F413" s="37"/>
      <c r="G413" s="37"/>
      <c r="H413" s="37"/>
      <c r="I413" s="37"/>
      <c r="J413" s="37"/>
      <c r="K413" s="37"/>
      <c r="L413" s="37"/>
      <c r="M413" s="37"/>
      <c r="N413" s="37"/>
      <c r="O413" s="37"/>
      <c r="P413" s="37"/>
      <c r="Q413" s="37"/>
      <c r="R413" s="37"/>
      <c r="S413" s="37"/>
      <c r="T413" s="37"/>
      <c r="U413" s="37"/>
      <c r="V413" s="37"/>
      <c r="W413" s="37"/>
      <c r="X413" s="37"/>
      <c r="Y413" s="37"/>
      <c r="Z413" s="37"/>
      <c r="AA413" s="37"/>
      <c r="AB413" s="37"/>
      <c r="AC413" s="37"/>
      <c r="AD413" s="37"/>
      <c r="AE413" s="37"/>
    </row>
    <row r="414" spans="1:31" x14ac:dyDescent="0.25">
      <c r="A414" s="37"/>
      <c r="B414" s="37"/>
      <c r="C414" s="37"/>
      <c r="D414" s="37"/>
      <c r="E414" s="37"/>
      <c r="F414" s="37"/>
      <c r="G414" s="37"/>
      <c r="H414" s="37"/>
      <c r="I414" s="37"/>
      <c r="J414" s="37"/>
      <c r="K414" s="37"/>
      <c r="L414" s="37"/>
      <c r="M414" s="37"/>
      <c r="N414" s="37"/>
      <c r="O414" s="37"/>
      <c r="P414" s="37"/>
      <c r="Q414" s="37"/>
      <c r="R414" s="37"/>
      <c r="S414" s="37"/>
      <c r="T414" s="37"/>
      <c r="U414" s="37"/>
      <c r="V414" s="37"/>
      <c r="W414" s="37"/>
      <c r="X414" s="37"/>
      <c r="Y414" s="37"/>
      <c r="Z414" s="37"/>
      <c r="AA414" s="37"/>
      <c r="AB414" s="37"/>
      <c r="AC414" s="37"/>
      <c r="AD414" s="37"/>
      <c r="AE414" s="37"/>
    </row>
    <row r="415" spans="1:31" x14ac:dyDescent="0.25">
      <c r="A415" s="37"/>
      <c r="B415" s="37"/>
      <c r="C415" s="37"/>
      <c r="D415" s="37"/>
      <c r="E415" s="37"/>
      <c r="F415" s="37"/>
      <c r="G415" s="37"/>
      <c r="H415" s="37"/>
      <c r="I415" s="37"/>
      <c r="J415" s="37"/>
      <c r="K415" s="37"/>
      <c r="L415" s="37"/>
      <c r="M415" s="37"/>
      <c r="N415" s="37"/>
      <c r="O415" s="37"/>
      <c r="P415" s="37"/>
      <c r="Q415" s="37"/>
      <c r="R415" s="37"/>
      <c r="S415" s="37"/>
      <c r="T415" s="37"/>
      <c r="U415" s="37"/>
      <c r="V415" s="37"/>
      <c r="W415" s="37"/>
      <c r="X415" s="37"/>
      <c r="Y415" s="37"/>
      <c r="Z415" s="37"/>
      <c r="AA415" s="37"/>
      <c r="AB415" s="37"/>
      <c r="AC415" s="37"/>
      <c r="AD415" s="37"/>
      <c r="AE415" s="37"/>
    </row>
    <row r="416" spans="1:31" x14ac:dyDescent="0.25">
      <c r="A416" s="37"/>
      <c r="B416" s="37"/>
      <c r="C416" s="37"/>
      <c r="D416" s="37"/>
      <c r="E416" s="37"/>
      <c r="F416" s="37"/>
      <c r="G416" s="37"/>
      <c r="H416" s="37"/>
      <c r="I416" s="37"/>
      <c r="J416" s="37"/>
      <c r="K416" s="37"/>
      <c r="L416" s="37"/>
      <c r="M416" s="37"/>
      <c r="N416" s="37"/>
      <c r="O416" s="37"/>
      <c r="P416" s="37"/>
      <c r="Q416" s="37"/>
      <c r="R416" s="37"/>
      <c r="S416" s="37"/>
      <c r="T416" s="37"/>
      <c r="U416" s="37"/>
      <c r="V416" s="37"/>
      <c r="W416" s="37"/>
      <c r="X416" s="37"/>
      <c r="Y416" s="37"/>
      <c r="Z416" s="37"/>
      <c r="AA416" s="37"/>
      <c r="AB416" s="37"/>
      <c r="AC416" s="37"/>
      <c r="AD416" s="37"/>
      <c r="AE416" s="37"/>
    </row>
    <row r="417" spans="1:31" x14ac:dyDescent="0.25">
      <c r="A417" s="37"/>
      <c r="B417" s="37"/>
      <c r="C417" s="37"/>
      <c r="D417" s="37"/>
      <c r="E417" s="37"/>
      <c r="F417" s="37"/>
      <c r="G417" s="37"/>
      <c r="H417" s="37"/>
      <c r="I417" s="37"/>
      <c r="J417" s="37"/>
      <c r="K417" s="37"/>
      <c r="L417" s="37"/>
      <c r="M417" s="37"/>
      <c r="N417" s="37"/>
      <c r="O417" s="37"/>
      <c r="P417" s="37"/>
      <c r="Q417" s="37"/>
      <c r="R417" s="37"/>
      <c r="S417" s="37"/>
      <c r="T417" s="37"/>
      <c r="U417" s="37"/>
      <c r="V417" s="37"/>
      <c r="W417" s="37"/>
      <c r="X417" s="37"/>
      <c r="Y417" s="37"/>
      <c r="Z417" s="37"/>
      <c r="AA417" s="37"/>
      <c r="AB417" s="37"/>
      <c r="AC417" s="37"/>
      <c r="AD417" s="37"/>
      <c r="AE417" s="37"/>
    </row>
    <row r="418" spans="1:31" x14ac:dyDescent="0.25">
      <c r="A418" s="37"/>
      <c r="B418" s="37"/>
      <c r="C418" s="37"/>
      <c r="D418" s="37"/>
      <c r="E418" s="37"/>
      <c r="F418" s="37"/>
      <c r="G418" s="37"/>
      <c r="H418" s="37"/>
      <c r="I418" s="37"/>
      <c r="J418" s="37"/>
      <c r="K418" s="37"/>
      <c r="L418" s="37"/>
      <c r="M418" s="37"/>
      <c r="N418" s="37"/>
      <c r="O418" s="37"/>
      <c r="P418" s="37"/>
      <c r="Q418" s="37"/>
      <c r="R418" s="37"/>
      <c r="S418" s="37"/>
      <c r="T418" s="37"/>
      <c r="U418" s="37"/>
      <c r="V418" s="37"/>
      <c r="W418" s="37"/>
      <c r="X418" s="37"/>
      <c r="Y418" s="37"/>
      <c r="Z418" s="37"/>
      <c r="AA418" s="37"/>
      <c r="AB418" s="37"/>
      <c r="AC418" s="37"/>
      <c r="AD418" s="37"/>
      <c r="AE418" s="37"/>
    </row>
    <row r="419" spans="1:31" x14ac:dyDescent="0.25">
      <c r="A419" s="37"/>
      <c r="B419" s="37"/>
      <c r="C419" s="37"/>
      <c r="D419" s="37"/>
      <c r="E419" s="37"/>
      <c r="F419" s="37"/>
      <c r="G419" s="37"/>
      <c r="H419" s="37"/>
      <c r="I419" s="37"/>
      <c r="J419" s="37"/>
      <c r="K419" s="37"/>
      <c r="L419" s="37"/>
      <c r="M419" s="37"/>
      <c r="N419" s="37"/>
      <c r="O419" s="37"/>
      <c r="P419" s="37"/>
      <c r="Q419" s="37"/>
      <c r="R419" s="37"/>
      <c r="S419" s="37"/>
      <c r="T419" s="37"/>
      <c r="U419" s="37"/>
      <c r="V419" s="37"/>
      <c r="W419" s="37"/>
      <c r="X419" s="37"/>
      <c r="Y419" s="37"/>
      <c r="Z419" s="37"/>
      <c r="AA419" s="37"/>
      <c r="AB419" s="37"/>
      <c r="AC419" s="37"/>
      <c r="AD419" s="37"/>
      <c r="AE419" s="37"/>
    </row>
    <row r="420" spans="1:31" x14ac:dyDescent="0.25">
      <c r="A420" s="37"/>
      <c r="B420" s="37"/>
      <c r="C420" s="37"/>
      <c r="D420" s="37"/>
      <c r="E420" s="37"/>
      <c r="F420" s="37"/>
      <c r="G420" s="37"/>
      <c r="H420" s="37"/>
      <c r="I420" s="37"/>
      <c r="J420" s="37"/>
      <c r="K420" s="37"/>
      <c r="L420" s="37"/>
      <c r="M420" s="37"/>
      <c r="N420" s="37"/>
      <c r="O420" s="37"/>
      <c r="P420" s="37"/>
      <c r="Q420" s="37"/>
      <c r="R420" s="37"/>
      <c r="S420" s="37"/>
      <c r="T420" s="37"/>
      <c r="U420" s="37"/>
      <c r="V420" s="37"/>
      <c r="W420" s="37"/>
      <c r="X420" s="37"/>
      <c r="Y420" s="37"/>
      <c r="Z420" s="37"/>
      <c r="AA420" s="37"/>
      <c r="AB420" s="37"/>
      <c r="AC420" s="37"/>
      <c r="AD420" s="37"/>
      <c r="AE420" s="37"/>
    </row>
    <row r="421" spans="1:31" x14ac:dyDescent="0.25">
      <c r="A421" s="37"/>
      <c r="B421" s="37"/>
      <c r="C421" s="37"/>
      <c r="D421" s="37"/>
      <c r="E421" s="37"/>
      <c r="F421" s="37"/>
      <c r="G421" s="37"/>
      <c r="H421" s="37"/>
      <c r="I421" s="37"/>
      <c r="J421" s="37"/>
      <c r="K421" s="37"/>
      <c r="L421" s="37"/>
      <c r="M421" s="37"/>
      <c r="N421" s="37"/>
      <c r="O421" s="37"/>
      <c r="P421" s="37"/>
      <c r="Q421" s="37"/>
      <c r="R421" s="37"/>
      <c r="S421" s="37"/>
      <c r="T421" s="37"/>
      <c r="U421" s="37"/>
      <c r="V421" s="37"/>
      <c r="W421" s="37"/>
      <c r="X421" s="37"/>
      <c r="Y421" s="37"/>
      <c r="Z421" s="37"/>
      <c r="AA421" s="37"/>
      <c r="AB421" s="37"/>
      <c r="AC421" s="37"/>
      <c r="AD421" s="37"/>
      <c r="AE421" s="37"/>
    </row>
    <row r="422" spans="1:31" x14ac:dyDescent="0.25">
      <c r="A422" s="37"/>
      <c r="B422" s="37"/>
      <c r="C422" s="37"/>
      <c r="D422" s="37"/>
      <c r="E422" s="37"/>
      <c r="F422" s="37"/>
      <c r="G422" s="37"/>
      <c r="H422" s="37"/>
      <c r="I422" s="37"/>
      <c r="J422" s="37"/>
      <c r="K422" s="37"/>
      <c r="L422" s="37"/>
      <c r="M422" s="37"/>
      <c r="N422" s="37"/>
      <c r="O422" s="37"/>
      <c r="P422" s="37"/>
      <c r="Q422" s="37"/>
      <c r="R422" s="37"/>
      <c r="S422" s="37"/>
      <c r="T422" s="37"/>
      <c r="U422" s="37"/>
      <c r="V422" s="37"/>
      <c r="W422" s="37"/>
      <c r="X422" s="37"/>
      <c r="Y422" s="37"/>
      <c r="Z422" s="37"/>
      <c r="AA422" s="37"/>
      <c r="AB422" s="37"/>
      <c r="AC422" s="37"/>
      <c r="AD422" s="37"/>
      <c r="AE422" s="37"/>
    </row>
    <row r="423" spans="1:31" x14ac:dyDescent="0.25">
      <c r="A423" s="37"/>
      <c r="B423" s="37"/>
      <c r="C423" s="37"/>
      <c r="D423" s="37"/>
      <c r="E423" s="37"/>
      <c r="F423" s="37"/>
      <c r="G423" s="37"/>
      <c r="H423" s="37"/>
      <c r="I423" s="37"/>
      <c r="J423" s="37"/>
      <c r="K423" s="37"/>
      <c r="L423" s="37"/>
      <c r="M423" s="37"/>
      <c r="N423" s="37"/>
      <c r="O423" s="37"/>
      <c r="P423" s="37"/>
      <c r="Q423" s="37"/>
      <c r="R423" s="37"/>
      <c r="S423" s="37"/>
      <c r="T423" s="37"/>
      <c r="U423" s="37"/>
      <c r="V423" s="37"/>
      <c r="W423" s="37"/>
      <c r="X423" s="37"/>
      <c r="Y423" s="37"/>
      <c r="Z423" s="37"/>
      <c r="AA423" s="37"/>
      <c r="AB423" s="37"/>
      <c r="AC423" s="37"/>
      <c r="AD423" s="37"/>
      <c r="AE423" s="37"/>
    </row>
    <row r="424" spans="1:31" x14ac:dyDescent="0.25">
      <c r="A424" s="37"/>
      <c r="B424" s="37"/>
      <c r="C424" s="37"/>
      <c r="D424" s="37"/>
      <c r="E424" s="37"/>
      <c r="F424" s="37"/>
      <c r="G424" s="37"/>
      <c r="H424" s="37"/>
      <c r="I424" s="37"/>
      <c r="J424" s="37"/>
      <c r="K424" s="37"/>
      <c r="L424" s="37"/>
      <c r="M424" s="37"/>
      <c r="N424" s="37"/>
      <c r="O424" s="37"/>
      <c r="P424" s="37"/>
      <c r="Q424" s="37"/>
      <c r="R424" s="37"/>
      <c r="S424" s="37"/>
      <c r="T424" s="37"/>
      <c r="U424" s="37"/>
      <c r="V424" s="37"/>
      <c r="W424" s="37"/>
      <c r="X424" s="37"/>
      <c r="Y424" s="37"/>
      <c r="Z424" s="37"/>
      <c r="AA424" s="37"/>
      <c r="AB424" s="37"/>
      <c r="AC424" s="37"/>
      <c r="AD424" s="37"/>
      <c r="AE424" s="37"/>
    </row>
    <row r="425" spans="1:31" x14ac:dyDescent="0.25">
      <c r="A425" s="37"/>
      <c r="B425" s="37"/>
      <c r="C425" s="37"/>
      <c r="D425" s="37"/>
      <c r="E425" s="37"/>
      <c r="F425" s="37"/>
      <c r="G425" s="37"/>
      <c r="H425" s="37"/>
      <c r="I425" s="37"/>
      <c r="J425" s="37"/>
      <c r="K425" s="37"/>
      <c r="L425" s="37"/>
      <c r="M425" s="37"/>
      <c r="N425" s="37"/>
      <c r="O425" s="37"/>
      <c r="P425" s="37"/>
      <c r="Q425" s="37"/>
      <c r="R425" s="37"/>
      <c r="S425" s="37"/>
      <c r="T425" s="37"/>
      <c r="U425" s="37"/>
      <c r="V425" s="37"/>
      <c r="W425" s="37"/>
      <c r="X425" s="37"/>
      <c r="Y425" s="37"/>
      <c r="Z425" s="37"/>
      <c r="AA425" s="37"/>
      <c r="AB425" s="37"/>
      <c r="AC425" s="37"/>
      <c r="AD425" s="37"/>
      <c r="AE425" s="37"/>
    </row>
    <row r="426" spans="1:31" x14ac:dyDescent="0.25">
      <c r="A426" s="37"/>
      <c r="B426" s="37"/>
      <c r="C426" s="37"/>
      <c r="D426" s="37"/>
      <c r="E426" s="37"/>
      <c r="F426" s="37"/>
      <c r="G426" s="37"/>
      <c r="H426" s="37"/>
      <c r="I426" s="37"/>
      <c r="J426" s="37"/>
      <c r="K426" s="37"/>
      <c r="L426" s="37"/>
      <c r="M426" s="37"/>
      <c r="N426" s="37"/>
      <c r="O426" s="37"/>
      <c r="P426" s="37"/>
      <c r="Q426" s="37"/>
      <c r="R426" s="37"/>
      <c r="S426" s="37"/>
      <c r="T426" s="37"/>
      <c r="U426" s="37"/>
      <c r="V426" s="37"/>
      <c r="W426" s="37"/>
      <c r="X426" s="37"/>
      <c r="Y426" s="37"/>
      <c r="Z426" s="37"/>
      <c r="AA426" s="37"/>
      <c r="AB426" s="37"/>
      <c r="AC426" s="37"/>
      <c r="AD426" s="37"/>
      <c r="AE426" s="37"/>
    </row>
    <row r="427" spans="1:31" x14ac:dyDescent="0.25">
      <c r="A427" s="37"/>
      <c r="B427" s="37"/>
      <c r="C427" s="37"/>
      <c r="D427" s="37"/>
      <c r="E427" s="37"/>
      <c r="F427" s="37"/>
      <c r="G427" s="37"/>
      <c r="H427" s="37"/>
      <c r="I427" s="37"/>
      <c r="J427" s="37"/>
      <c r="K427" s="37"/>
      <c r="L427" s="37"/>
      <c r="M427" s="37"/>
      <c r="N427" s="37"/>
      <c r="O427" s="37"/>
      <c r="P427" s="37"/>
      <c r="Q427" s="37"/>
      <c r="R427" s="37"/>
      <c r="S427" s="37"/>
      <c r="T427" s="37"/>
      <c r="U427" s="37"/>
      <c r="V427" s="37"/>
      <c r="W427" s="37"/>
      <c r="X427" s="37"/>
      <c r="Y427" s="37"/>
      <c r="Z427" s="37"/>
      <c r="AA427" s="37"/>
      <c r="AB427" s="37"/>
      <c r="AC427" s="37"/>
      <c r="AD427" s="37"/>
      <c r="AE427" s="37"/>
    </row>
    <row r="428" spans="1:31" x14ac:dyDescent="0.25">
      <c r="A428" s="37"/>
      <c r="B428" s="37"/>
      <c r="C428" s="37"/>
      <c r="D428" s="37"/>
      <c r="E428" s="37"/>
      <c r="F428" s="37"/>
      <c r="G428" s="37"/>
      <c r="H428" s="37"/>
      <c r="I428" s="37"/>
      <c r="J428" s="37"/>
      <c r="K428" s="37"/>
      <c r="L428" s="37"/>
      <c r="M428" s="37"/>
      <c r="N428" s="37"/>
      <c r="O428" s="37"/>
      <c r="P428" s="37"/>
      <c r="Q428" s="37"/>
      <c r="R428" s="37"/>
      <c r="S428" s="37"/>
      <c r="T428" s="37"/>
      <c r="U428" s="37"/>
      <c r="V428" s="37"/>
      <c r="W428" s="37"/>
      <c r="X428" s="37"/>
      <c r="Y428" s="37"/>
      <c r="Z428" s="37"/>
      <c r="AA428" s="37"/>
      <c r="AB428" s="37"/>
      <c r="AC428" s="37"/>
      <c r="AD428" s="37"/>
      <c r="AE428" s="37"/>
    </row>
    <row r="429" spans="1:31" x14ac:dyDescent="0.25">
      <c r="A429" s="37"/>
      <c r="B429" s="37"/>
      <c r="C429" s="37"/>
      <c r="D429" s="37"/>
      <c r="E429" s="37"/>
      <c r="F429" s="37"/>
      <c r="G429" s="37"/>
      <c r="H429" s="37"/>
      <c r="I429" s="37"/>
      <c r="J429" s="37"/>
      <c r="K429" s="37"/>
      <c r="L429" s="37"/>
      <c r="M429" s="37"/>
      <c r="N429" s="37"/>
      <c r="O429" s="37"/>
      <c r="P429" s="37"/>
      <c r="Q429" s="37"/>
      <c r="R429" s="37"/>
      <c r="S429" s="37"/>
      <c r="T429" s="37"/>
      <c r="U429" s="37"/>
      <c r="V429" s="37"/>
      <c r="W429" s="37"/>
      <c r="X429" s="37"/>
      <c r="Y429" s="37"/>
      <c r="Z429" s="37"/>
      <c r="AA429" s="37"/>
      <c r="AB429" s="37"/>
      <c r="AC429" s="37"/>
      <c r="AD429" s="37"/>
      <c r="AE429" s="37"/>
    </row>
    <row r="430" spans="1:31" x14ac:dyDescent="0.25">
      <c r="A430" s="37"/>
      <c r="B430" s="37"/>
      <c r="C430" s="37"/>
      <c r="D430" s="37"/>
      <c r="E430" s="37"/>
      <c r="F430" s="37"/>
      <c r="G430" s="37"/>
      <c r="H430" s="37"/>
      <c r="I430" s="37"/>
      <c r="J430" s="37"/>
      <c r="K430" s="37"/>
      <c r="L430" s="37"/>
      <c r="M430" s="37"/>
      <c r="N430" s="37"/>
      <c r="O430" s="37"/>
      <c r="P430" s="37"/>
      <c r="Q430" s="37"/>
      <c r="R430" s="37"/>
      <c r="S430" s="37"/>
      <c r="T430" s="37"/>
      <c r="U430" s="37"/>
      <c r="V430" s="37"/>
      <c r="W430" s="37"/>
      <c r="X430" s="37"/>
      <c r="Y430" s="37"/>
      <c r="Z430" s="37"/>
      <c r="AA430" s="37"/>
      <c r="AB430" s="37"/>
      <c r="AC430" s="37"/>
      <c r="AD430" s="37"/>
      <c r="AE430" s="37"/>
    </row>
    <row r="431" spans="1:31" x14ac:dyDescent="0.25">
      <c r="A431" s="37"/>
      <c r="B431" s="37"/>
      <c r="C431" s="37"/>
      <c r="D431" s="37"/>
      <c r="E431" s="37"/>
      <c r="F431" s="37"/>
      <c r="G431" s="37"/>
      <c r="H431" s="37"/>
      <c r="I431" s="37"/>
      <c r="J431" s="37"/>
      <c r="K431" s="37"/>
      <c r="L431" s="37"/>
      <c r="M431" s="37"/>
      <c r="N431" s="37"/>
      <c r="O431" s="37"/>
      <c r="P431" s="37"/>
      <c r="Q431" s="37"/>
      <c r="R431" s="37"/>
      <c r="S431" s="37"/>
      <c r="T431" s="37"/>
      <c r="U431" s="37"/>
      <c r="V431" s="37"/>
      <c r="W431" s="37"/>
      <c r="X431" s="37"/>
      <c r="Y431" s="37"/>
      <c r="Z431" s="37"/>
      <c r="AA431" s="37"/>
      <c r="AB431" s="37"/>
      <c r="AC431" s="37"/>
      <c r="AD431" s="37"/>
      <c r="AE431" s="37"/>
    </row>
    <row r="432" spans="1:31" x14ac:dyDescent="0.25">
      <c r="A432" s="37"/>
      <c r="B432" s="37"/>
      <c r="C432" s="37"/>
      <c r="D432" s="37"/>
      <c r="E432" s="37"/>
      <c r="F432" s="37"/>
      <c r="G432" s="37"/>
      <c r="H432" s="37"/>
      <c r="I432" s="37"/>
      <c r="J432" s="37"/>
      <c r="K432" s="37"/>
      <c r="L432" s="37"/>
      <c r="M432" s="37"/>
      <c r="N432" s="37"/>
      <c r="O432" s="37"/>
      <c r="P432" s="37"/>
      <c r="Q432" s="37"/>
      <c r="R432" s="37"/>
      <c r="S432" s="37"/>
      <c r="T432" s="37"/>
      <c r="U432" s="37"/>
      <c r="V432" s="37"/>
      <c r="W432" s="37"/>
      <c r="X432" s="37"/>
      <c r="Y432" s="37"/>
      <c r="Z432" s="37"/>
      <c r="AA432" s="37"/>
      <c r="AB432" s="37"/>
      <c r="AC432" s="37"/>
      <c r="AD432" s="37"/>
      <c r="AE432" s="37"/>
    </row>
    <row r="433" spans="1:31" x14ac:dyDescent="0.25">
      <c r="A433" s="37"/>
      <c r="B433" s="37"/>
      <c r="C433" s="37"/>
      <c r="D433" s="37"/>
      <c r="E433" s="37"/>
      <c r="F433" s="37"/>
      <c r="G433" s="37"/>
      <c r="H433" s="37"/>
      <c r="I433" s="37"/>
      <c r="J433" s="37"/>
      <c r="K433" s="37"/>
      <c r="L433" s="37"/>
      <c r="M433" s="37"/>
      <c r="N433" s="37"/>
      <c r="O433" s="37"/>
      <c r="P433" s="37"/>
      <c r="Q433" s="37"/>
      <c r="R433" s="37"/>
      <c r="S433" s="37"/>
      <c r="T433" s="37"/>
      <c r="U433" s="37"/>
      <c r="V433" s="37"/>
      <c r="W433" s="37"/>
      <c r="X433" s="37"/>
      <c r="Y433" s="37"/>
      <c r="Z433" s="37"/>
      <c r="AA433" s="37"/>
      <c r="AB433" s="37"/>
      <c r="AC433" s="37"/>
      <c r="AD433" s="37"/>
      <c r="AE433" s="37"/>
    </row>
    <row r="434" spans="1:31" x14ac:dyDescent="0.25">
      <c r="A434" s="37"/>
      <c r="B434" s="37"/>
      <c r="C434" s="37"/>
      <c r="D434" s="37"/>
      <c r="E434" s="37"/>
      <c r="F434" s="37"/>
      <c r="G434" s="37"/>
      <c r="H434" s="37"/>
      <c r="I434" s="37"/>
      <c r="J434" s="37"/>
      <c r="K434" s="37"/>
      <c r="L434" s="37"/>
      <c r="M434" s="37"/>
      <c r="N434" s="37"/>
      <c r="O434" s="37"/>
      <c r="P434" s="37"/>
      <c r="Q434" s="37"/>
      <c r="R434" s="37"/>
      <c r="S434" s="37"/>
      <c r="T434" s="37"/>
      <c r="U434" s="37"/>
      <c r="V434" s="37"/>
      <c r="W434" s="37"/>
      <c r="X434" s="37"/>
      <c r="Y434" s="37"/>
      <c r="Z434" s="37"/>
      <c r="AA434" s="37"/>
      <c r="AB434" s="37"/>
      <c r="AC434" s="37"/>
      <c r="AD434" s="37"/>
      <c r="AE434" s="37"/>
    </row>
    <row r="435" spans="1:31" x14ac:dyDescent="0.25">
      <c r="A435" s="37"/>
      <c r="B435" s="37"/>
      <c r="C435" s="37"/>
      <c r="D435" s="37"/>
      <c r="E435" s="37"/>
      <c r="F435" s="37"/>
      <c r="G435" s="37"/>
      <c r="H435" s="37"/>
      <c r="I435" s="37"/>
      <c r="J435" s="37"/>
      <c r="K435" s="37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37"/>
      <c r="Y435" s="37"/>
      <c r="Z435" s="37"/>
      <c r="AA435" s="37"/>
      <c r="AB435" s="37"/>
      <c r="AC435" s="37"/>
      <c r="AD435" s="37"/>
      <c r="AE435" s="37"/>
    </row>
    <row r="436" spans="1:31" x14ac:dyDescent="0.25">
      <c r="A436" s="37"/>
      <c r="B436" s="37"/>
      <c r="C436" s="37"/>
      <c r="D436" s="37"/>
      <c r="E436" s="37"/>
      <c r="F436" s="37"/>
      <c r="G436" s="37"/>
      <c r="H436" s="37"/>
      <c r="I436" s="37"/>
      <c r="J436" s="37"/>
      <c r="K436" s="37"/>
      <c r="L436" s="37"/>
      <c r="M436" s="37"/>
      <c r="N436" s="37"/>
      <c r="O436" s="37"/>
      <c r="P436" s="37"/>
      <c r="Q436" s="37"/>
      <c r="R436" s="37"/>
      <c r="S436" s="37"/>
      <c r="T436" s="37"/>
      <c r="U436" s="37"/>
      <c r="V436" s="37"/>
      <c r="W436" s="37"/>
      <c r="X436" s="37"/>
      <c r="Y436" s="37"/>
      <c r="Z436" s="37"/>
      <c r="AA436" s="37"/>
      <c r="AB436" s="37"/>
      <c r="AC436" s="37"/>
      <c r="AD436" s="37"/>
      <c r="AE436" s="37"/>
    </row>
    <row r="437" spans="1:31" x14ac:dyDescent="0.25">
      <c r="A437" s="37"/>
      <c r="B437" s="37"/>
      <c r="C437" s="37"/>
      <c r="D437" s="37"/>
      <c r="E437" s="37"/>
      <c r="F437" s="37"/>
      <c r="G437" s="37"/>
      <c r="H437" s="37"/>
      <c r="I437" s="37"/>
      <c r="J437" s="37"/>
      <c r="K437" s="37"/>
      <c r="L437" s="37"/>
      <c r="M437" s="37"/>
      <c r="N437" s="37"/>
      <c r="O437" s="37"/>
      <c r="P437" s="37"/>
      <c r="Q437" s="37"/>
      <c r="R437" s="37"/>
      <c r="S437" s="37"/>
      <c r="T437" s="37"/>
      <c r="U437" s="37"/>
      <c r="V437" s="37"/>
      <c r="W437" s="37"/>
      <c r="X437" s="37"/>
      <c r="Y437" s="37"/>
      <c r="Z437" s="37"/>
      <c r="AA437" s="37"/>
      <c r="AB437" s="37"/>
      <c r="AC437" s="37"/>
      <c r="AD437" s="37"/>
      <c r="AE437" s="37"/>
    </row>
    <row r="438" spans="1:31" x14ac:dyDescent="0.25">
      <c r="A438" s="37"/>
      <c r="B438" s="37"/>
      <c r="C438" s="37"/>
      <c r="D438" s="37"/>
      <c r="E438" s="37"/>
      <c r="F438" s="37"/>
      <c r="G438" s="37"/>
      <c r="H438" s="37"/>
      <c r="I438" s="37"/>
      <c r="J438" s="37"/>
      <c r="K438" s="37"/>
      <c r="L438" s="37"/>
      <c r="M438" s="37"/>
      <c r="N438" s="37"/>
      <c r="O438" s="37"/>
      <c r="P438" s="37"/>
      <c r="Q438" s="37"/>
      <c r="R438" s="37"/>
      <c r="S438" s="37"/>
      <c r="T438" s="37"/>
      <c r="U438" s="37"/>
      <c r="V438" s="37"/>
      <c r="W438" s="37"/>
      <c r="X438" s="37"/>
      <c r="Y438" s="37"/>
      <c r="Z438" s="37"/>
      <c r="AA438" s="37"/>
      <c r="AB438" s="37"/>
      <c r="AC438" s="37"/>
      <c r="AD438" s="37"/>
      <c r="AE438" s="37"/>
    </row>
    <row r="439" spans="1:31" x14ac:dyDescent="0.25">
      <c r="A439" s="37"/>
      <c r="B439" s="37"/>
      <c r="C439" s="37"/>
      <c r="D439" s="37"/>
      <c r="E439" s="37"/>
      <c r="F439" s="37"/>
      <c r="G439" s="37"/>
      <c r="H439" s="37"/>
      <c r="I439" s="37"/>
      <c r="J439" s="37"/>
      <c r="K439" s="37"/>
      <c r="L439" s="37"/>
      <c r="M439" s="37"/>
      <c r="N439" s="37"/>
      <c r="O439" s="37"/>
      <c r="P439" s="37"/>
      <c r="Q439" s="37"/>
      <c r="R439" s="37"/>
      <c r="S439" s="37"/>
      <c r="T439" s="37"/>
      <c r="U439" s="37"/>
      <c r="V439" s="37"/>
      <c r="W439" s="37"/>
      <c r="X439" s="37"/>
      <c r="Y439" s="37"/>
      <c r="Z439" s="37"/>
      <c r="AA439" s="37"/>
      <c r="AB439" s="37"/>
      <c r="AC439" s="37"/>
      <c r="AD439" s="37"/>
      <c r="AE439" s="37"/>
    </row>
    <row r="440" spans="1:31" x14ac:dyDescent="0.25">
      <c r="A440" s="37"/>
      <c r="B440" s="37"/>
      <c r="C440" s="37"/>
      <c r="D440" s="37"/>
      <c r="E440" s="37"/>
      <c r="F440" s="37"/>
      <c r="G440" s="37"/>
      <c r="H440" s="37"/>
      <c r="I440" s="37"/>
      <c r="J440" s="37"/>
      <c r="K440" s="37"/>
      <c r="L440" s="37"/>
      <c r="M440" s="37"/>
      <c r="N440" s="37"/>
      <c r="O440" s="37"/>
      <c r="P440" s="37"/>
      <c r="Q440" s="37"/>
      <c r="R440" s="37"/>
      <c r="S440" s="37"/>
      <c r="T440" s="37"/>
      <c r="U440" s="37"/>
      <c r="V440" s="37"/>
      <c r="W440" s="37"/>
      <c r="X440" s="37"/>
      <c r="Y440" s="37"/>
      <c r="Z440" s="37"/>
      <c r="AA440" s="37"/>
      <c r="AB440" s="37"/>
      <c r="AC440" s="37"/>
      <c r="AD440" s="37"/>
      <c r="AE440" s="37"/>
    </row>
    <row r="441" spans="1:31" x14ac:dyDescent="0.25">
      <c r="A441" s="37"/>
      <c r="B441" s="37"/>
      <c r="C441" s="37"/>
      <c r="D441" s="37"/>
      <c r="E441" s="37"/>
      <c r="F441" s="37"/>
      <c r="G441" s="37"/>
      <c r="H441" s="37"/>
      <c r="I441" s="37"/>
      <c r="J441" s="37"/>
      <c r="K441" s="37"/>
      <c r="L441" s="37"/>
      <c r="M441" s="37"/>
      <c r="N441" s="37"/>
      <c r="O441" s="37"/>
      <c r="P441" s="37"/>
      <c r="Q441" s="37"/>
      <c r="R441" s="37"/>
      <c r="S441" s="37"/>
      <c r="T441" s="37"/>
      <c r="U441" s="37"/>
      <c r="V441" s="37"/>
      <c r="W441" s="37"/>
      <c r="X441" s="37"/>
      <c r="Y441" s="37"/>
      <c r="Z441" s="37"/>
      <c r="AA441" s="37"/>
      <c r="AB441" s="37"/>
      <c r="AC441" s="37"/>
      <c r="AD441" s="37"/>
      <c r="AE441" s="37"/>
    </row>
    <row r="442" spans="1:31" x14ac:dyDescent="0.25">
      <c r="A442" s="37"/>
      <c r="B442" s="37"/>
      <c r="C442" s="37"/>
      <c r="D442" s="37"/>
      <c r="E442" s="37"/>
      <c r="F442" s="37"/>
      <c r="G442" s="37"/>
      <c r="H442" s="37"/>
      <c r="I442" s="37"/>
      <c r="J442" s="37"/>
      <c r="K442" s="37"/>
      <c r="L442" s="37"/>
      <c r="M442" s="37"/>
      <c r="N442" s="37"/>
      <c r="O442" s="37"/>
      <c r="P442" s="37"/>
      <c r="Q442" s="37"/>
      <c r="R442" s="37"/>
      <c r="S442" s="37"/>
      <c r="T442" s="37"/>
      <c r="U442" s="37"/>
      <c r="V442" s="37"/>
      <c r="W442" s="37"/>
      <c r="X442" s="37"/>
      <c r="Y442" s="37"/>
      <c r="Z442" s="37"/>
      <c r="AA442" s="37"/>
      <c r="AB442" s="37"/>
      <c r="AC442" s="37"/>
      <c r="AD442" s="37"/>
      <c r="AE442" s="37"/>
    </row>
    <row r="443" spans="1:31" x14ac:dyDescent="0.25">
      <c r="A443" s="37"/>
      <c r="B443" s="37"/>
      <c r="C443" s="37"/>
      <c r="D443" s="37"/>
      <c r="E443" s="37"/>
      <c r="F443" s="37"/>
      <c r="G443" s="37"/>
      <c r="H443" s="37"/>
      <c r="I443" s="37"/>
      <c r="J443" s="37"/>
      <c r="K443" s="37"/>
      <c r="L443" s="37"/>
      <c r="M443" s="37"/>
      <c r="N443" s="37"/>
      <c r="O443" s="37"/>
      <c r="P443" s="37"/>
      <c r="Q443" s="37"/>
      <c r="R443" s="37"/>
      <c r="S443" s="37"/>
      <c r="T443" s="37"/>
      <c r="U443" s="37"/>
      <c r="V443" s="37"/>
      <c r="W443" s="37"/>
      <c r="X443" s="37"/>
      <c r="Y443" s="37"/>
      <c r="Z443" s="37"/>
      <c r="AA443" s="37"/>
      <c r="AB443" s="37"/>
      <c r="AC443" s="37"/>
      <c r="AD443" s="37"/>
      <c r="AE443" s="37"/>
    </row>
    <row r="444" spans="1:31" x14ac:dyDescent="0.25">
      <c r="A444" s="37"/>
      <c r="B444" s="37"/>
      <c r="C444" s="37"/>
      <c r="D444" s="37"/>
      <c r="E444" s="37"/>
      <c r="F444" s="37"/>
      <c r="G444" s="37"/>
      <c r="H444" s="37"/>
      <c r="I444" s="37"/>
      <c r="J444" s="37"/>
      <c r="K444" s="37"/>
      <c r="L444" s="37"/>
      <c r="M444" s="37"/>
      <c r="N444" s="37"/>
      <c r="O444" s="37"/>
      <c r="P444" s="37"/>
      <c r="Q444" s="37"/>
      <c r="R444" s="37"/>
      <c r="S444" s="37"/>
      <c r="T444" s="37"/>
      <c r="U444" s="37"/>
      <c r="V444" s="37"/>
      <c r="W444" s="37"/>
      <c r="X444" s="37"/>
      <c r="Y444" s="37"/>
      <c r="Z444" s="37"/>
      <c r="AA444" s="37"/>
      <c r="AB444" s="37"/>
      <c r="AC444" s="37"/>
      <c r="AD444" s="37"/>
      <c r="AE444" s="37"/>
    </row>
    <row r="445" spans="1:31" x14ac:dyDescent="0.25">
      <c r="A445" s="37"/>
      <c r="B445" s="37"/>
      <c r="C445" s="37"/>
      <c r="D445" s="37"/>
      <c r="E445" s="37"/>
      <c r="F445" s="37"/>
      <c r="G445" s="37"/>
      <c r="H445" s="37"/>
      <c r="I445" s="37"/>
      <c r="J445" s="37"/>
      <c r="K445" s="37"/>
      <c r="L445" s="37"/>
      <c r="M445" s="37"/>
      <c r="N445" s="37"/>
      <c r="O445" s="37"/>
      <c r="P445" s="37"/>
      <c r="Q445" s="37"/>
      <c r="R445" s="37"/>
      <c r="S445" s="37"/>
      <c r="T445" s="37"/>
      <c r="U445" s="37"/>
      <c r="V445" s="37"/>
      <c r="W445" s="37"/>
      <c r="X445" s="37"/>
      <c r="Y445" s="37"/>
      <c r="Z445" s="37"/>
      <c r="AA445" s="37"/>
      <c r="AB445" s="37"/>
      <c r="AC445" s="37"/>
      <c r="AD445" s="37"/>
      <c r="AE445" s="37"/>
    </row>
    <row r="446" spans="1:31" x14ac:dyDescent="0.25">
      <c r="A446" s="37"/>
      <c r="B446" s="37"/>
      <c r="C446" s="37"/>
      <c r="D446" s="37"/>
      <c r="E446" s="37"/>
      <c r="F446" s="37"/>
      <c r="G446" s="37"/>
      <c r="H446" s="37"/>
      <c r="I446" s="37"/>
      <c r="J446" s="37"/>
      <c r="K446" s="37"/>
      <c r="L446" s="37"/>
      <c r="M446" s="37"/>
      <c r="N446" s="37"/>
      <c r="O446" s="37"/>
      <c r="P446" s="37"/>
      <c r="Q446" s="37"/>
      <c r="R446" s="37"/>
      <c r="S446" s="37"/>
      <c r="T446" s="37"/>
      <c r="U446" s="37"/>
      <c r="V446" s="37"/>
      <c r="W446" s="37"/>
      <c r="X446" s="37"/>
      <c r="Y446" s="37"/>
      <c r="Z446" s="37"/>
      <c r="AA446" s="37"/>
      <c r="AB446" s="37"/>
      <c r="AC446" s="37"/>
      <c r="AD446" s="37"/>
      <c r="AE446" s="37"/>
    </row>
    <row r="447" spans="1:31" x14ac:dyDescent="0.25">
      <c r="A447" s="37"/>
      <c r="B447" s="37"/>
      <c r="C447" s="37"/>
      <c r="D447" s="37"/>
      <c r="E447" s="37"/>
      <c r="F447" s="37"/>
      <c r="G447" s="37"/>
      <c r="H447" s="37"/>
      <c r="I447" s="37"/>
      <c r="J447" s="37"/>
      <c r="K447" s="37"/>
      <c r="L447" s="37"/>
      <c r="M447" s="37"/>
      <c r="N447" s="37"/>
      <c r="O447" s="37"/>
      <c r="P447" s="37"/>
      <c r="Q447" s="37"/>
      <c r="R447" s="37"/>
      <c r="S447" s="37"/>
      <c r="T447" s="37"/>
      <c r="U447" s="37"/>
      <c r="V447" s="37"/>
      <c r="W447" s="37"/>
      <c r="X447" s="37"/>
      <c r="Y447" s="37"/>
      <c r="Z447" s="37"/>
      <c r="AA447" s="37"/>
      <c r="AB447" s="37"/>
      <c r="AC447" s="37"/>
      <c r="AD447" s="37"/>
      <c r="AE447" s="37"/>
    </row>
    <row r="448" spans="1:31" x14ac:dyDescent="0.25">
      <c r="A448" s="37"/>
      <c r="B448" s="37"/>
      <c r="C448" s="37"/>
      <c r="D448" s="37"/>
      <c r="E448" s="37"/>
      <c r="F448" s="37"/>
      <c r="G448" s="37"/>
      <c r="H448" s="37"/>
      <c r="I448" s="37"/>
      <c r="J448" s="37"/>
      <c r="K448" s="37"/>
      <c r="L448" s="37"/>
      <c r="M448" s="37"/>
      <c r="N448" s="37"/>
      <c r="O448" s="37"/>
      <c r="P448" s="37"/>
      <c r="Q448" s="37"/>
      <c r="R448" s="37"/>
      <c r="S448" s="37"/>
      <c r="T448" s="37"/>
      <c r="U448" s="37"/>
      <c r="V448" s="37"/>
      <c r="W448" s="37"/>
      <c r="X448" s="37"/>
      <c r="Y448" s="37"/>
      <c r="Z448" s="37"/>
      <c r="AA448" s="37"/>
      <c r="AB448" s="37"/>
      <c r="AC448" s="37"/>
      <c r="AD448" s="37"/>
      <c r="AE448" s="37"/>
    </row>
    <row r="449" spans="1:31" x14ac:dyDescent="0.25">
      <c r="A449" s="37"/>
      <c r="B449" s="37"/>
      <c r="C449" s="37"/>
      <c r="D449" s="37"/>
      <c r="E449" s="37"/>
      <c r="F449" s="37"/>
      <c r="G449" s="37"/>
      <c r="H449" s="37"/>
      <c r="I449" s="37"/>
      <c r="J449" s="37"/>
      <c r="K449" s="37"/>
      <c r="L449" s="37"/>
      <c r="M449" s="37"/>
      <c r="N449" s="37"/>
      <c r="O449" s="37"/>
      <c r="P449" s="37"/>
      <c r="Q449" s="37"/>
      <c r="R449" s="37"/>
      <c r="S449" s="37"/>
      <c r="T449" s="37"/>
      <c r="U449" s="37"/>
      <c r="V449" s="37"/>
      <c r="W449" s="37"/>
      <c r="X449" s="37"/>
      <c r="Y449" s="37"/>
      <c r="Z449" s="37"/>
      <c r="AA449" s="37"/>
      <c r="AB449" s="37"/>
      <c r="AC449" s="37"/>
      <c r="AD449" s="37"/>
      <c r="AE449" s="37"/>
    </row>
    <row r="450" spans="1:31" x14ac:dyDescent="0.25">
      <c r="A450" s="37"/>
      <c r="B450" s="37"/>
      <c r="C450" s="37"/>
      <c r="D450" s="37"/>
      <c r="E450" s="37"/>
      <c r="F450" s="37"/>
      <c r="G450" s="37"/>
      <c r="H450" s="37"/>
      <c r="I450" s="37"/>
      <c r="J450" s="37"/>
      <c r="K450" s="37"/>
      <c r="L450" s="37"/>
      <c r="M450" s="37"/>
      <c r="N450" s="37"/>
      <c r="O450" s="37"/>
      <c r="P450" s="37"/>
      <c r="Q450" s="37"/>
      <c r="R450" s="37"/>
      <c r="S450" s="37"/>
      <c r="T450" s="37"/>
      <c r="U450" s="37"/>
      <c r="V450" s="37"/>
      <c r="W450" s="37"/>
      <c r="X450" s="37"/>
      <c r="Y450" s="37"/>
      <c r="Z450" s="37"/>
      <c r="AA450" s="37"/>
      <c r="AB450" s="37"/>
      <c r="AC450" s="37"/>
      <c r="AD450" s="37"/>
      <c r="AE450" s="37"/>
    </row>
    <row r="451" spans="1:31" x14ac:dyDescent="0.25">
      <c r="A451" s="37"/>
      <c r="B451" s="37"/>
      <c r="C451" s="37"/>
      <c r="D451" s="37"/>
      <c r="E451" s="37"/>
      <c r="F451" s="37"/>
      <c r="G451" s="37"/>
      <c r="H451" s="37"/>
      <c r="I451" s="37"/>
      <c r="J451" s="37"/>
      <c r="K451" s="37"/>
      <c r="L451" s="37"/>
      <c r="M451" s="37"/>
      <c r="N451" s="37"/>
      <c r="O451" s="37"/>
      <c r="P451" s="37"/>
      <c r="Q451" s="37"/>
      <c r="R451" s="37"/>
      <c r="S451" s="37"/>
      <c r="T451" s="37"/>
      <c r="U451" s="37"/>
      <c r="V451" s="37"/>
      <c r="W451" s="37"/>
      <c r="X451" s="37"/>
      <c r="Y451" s="37"/>
      <c r="Z451" s="37"/>
      <c r="AA451" s="37"/>
      <c r="AB451" s="37"/>
      <c r="AC451" s="37"/>
      <c r="AD451" s="37"/>
      <c r="AE451" s="37"/>
    </row>
    <row r="452" spans="1:31" x14ac:dyDescent="0.25">
      <c r="A452" s="37"/>
      <c r="B452" s="37"/>
      <c r="C452" s="37"/>
      <c r="D452" s="37"/>
      <c r="E452" s="37"/>
      <c r="F452" s="37"/>
      <c r="G452" s="37"/>
      <c r="H452" s="37"/>
      <c r="I452" s="37"/>
      <c r="J452" s="37"/>
      <c r="K452" s="37"/>
      <c r="L452" s="37"/>
      <c r="M452" s="37"/>
      <c r="N452" s="37"/>
      <c r="O452" s="37"/>
      <c r="P452" s="37"/>
      <c r="Q452" s="37"/>
      <c r="R452" s="37"/>
      <c r="S452" s="37"/>
      <c r="T452" s="37"/>
      <c r="U452" s="37"/>
      <c r="V452" s="37"/>
      <c r="W452" s="37"/>
      <c r="X452" s="37"/>
      <c r="Y452" s="37"/>
      <c r="Z452" s="37"/>
      <c r="AA452" s="37"/>
      <c r="AB452" s="37"/>
      <c r="AC452" s="37"/>
      <c r="AD452" s="37"/>
      <c r="AE452" s="37"/>
    </row>
    <row r="453" spans="1:31" x14ac:dyDescent="0.25">
      <c r="A453" s="37"/>
      <c r="B453" s="37"/>
      <c r="C453" s="37"/>
      <c r="D453" s="37"/>
      <c r="E453" s="37"/>
      <c r="F453" s="37"/>
      <c r="G453" s="37"/>
      <c r="H453" s="37"/>
      <c r="I453" s="37"/>
      <c r="J453" s="37"/>
      <c r="K453" s="37"/>
      <c r="L453" s="37"/>
      <c r="M453" s="37"/>
      <c r="N453" s="37"/>
      <c r="O453" s="37"/>
      <c r="P453" s="37"/>
      <c r="Q453" s="37"/>
      <c r="R453" s="37"/>
      <c r="S453" s="37"/>
      <c r="T453" s="37"/>
      <c r="U453" s="37"/>
      <c r="V453" s="37"/>
      <c r="W453" s="37"/>
      <c r="X453" s="37"/>
      <c r="Y453" s="37"/>
      <c r="Z453" s="37"/>
      <c r="AA453" s="37"/>
      <c r="AB453" s="37"/>
      <c r="AC453" s="37"/>
      <c r="AD453" s="37"/>
      <c r="AE453" s="37"/>
    </row>
    <row r="454" spans="1:31" x14ac:dyDescent="0.25">
      <c r="A454" s="37"/>
      <c r="B454" s="37"/>
      <c r="C454" s="37"/>
      <c r="D454" s="37"/>
      <c r="E454" s="37"/>
      <c r="F454" s="37"/>
      <c r="G454" s="37"/>
      <c r="H454" s="37"/>
      <c r="I454" s="37"/>
      <c r="J454" s="37"/>
      <c r="K454" s="37"/>
      <c r="L454" s="37"/>
      <c r="M454" s="37"/>
      <c r="N454" s="37"/>
      <c r="O454" s="37"/>
      <c r="P454" s="37"/>
      <c r="Q454" s="37"/>
      <c r="R454" s="37"/>
      <c r="S454" s="37"/>
      <c r="T454" s="37"/>
      <c r="U454" s="37"/>
      <c r="V454" s="37"/>
      <c r="W454" s="37"/>
      <c r="X454" s="37"/>
      <c r="Y454" s="37"/>
      <c r="Z454" s="37"/>
      <c r="AA454" s="37"/>
      <c r="AB454" s="37"/>
      <c r="AC454" s="37"/>
      <c r="AD454" s="37"/>
      <c r="AE454" s="37"/>
    </row>
    <row r="455" spans="1:31" x14ac:dyDescent="0.25">
      <c r="A455" s="37"/>
      <c r="B455" s="37"/>
      <c r="C455" s="37"/>
      <c r="D455" s="37"/>
      <c r="E455" s="37"/>
      <c r="F455" s="37"/>
      <c r="G455" s="37"/>
      <c r="H455" s="37"/>
      <c r="I455" s="37"/>
      <c r="J455" s="37"/>
      <c r="K455" s="37"/>
      <c r="L455" s="37"/>
      <c r="M455" s="37"/>
      <c r="N455" s="37"/>
      <c r="O455" s="37"/>
      <c r="P455" s="37"/>
      <c r="Q455" s="37"/>
      <c r="R455" s="37"/>
      <c r="S455" s="37"/>
      <c r="T455" s="37"/>
      <c r="U455" s="37"/>
      <c r="V455" s="37"/>
      <c r="W455" s="37"/>
      <c r="X455" s="37"/>
      <c r="Y455" s="37"/>
      <c r="Z455" s="37"/>
      <c r="AA455" s="37"/>
      <c r="AB455" s="37"/>
      <c r="AC455" s="37"/>
      <c r="AD455" s="37"/>
      <c r="AE455" s="37"/>
    </row>
    <row r="456" spans="1:31" x14ac:dyDescent="0.25">
      <c r="A456" s="37"/>
      <c r="B456" s="37"/>
      <c r="C456" s="37"/>
      <c r="D456" s="37"/>
      <c r="E456" s="37"/>
      <c r="F456" s="37"/>
      <c r="G456" s="37"/>
      <c r="H456" s="37"/>
      <c r="I456" s="37"/>
      <c r="J456" s="37"/>
      <c r="K456" s="37"/>
      <c r="L456" s="37"/>
      <c r="M456" s="37"/>
      <c r="N456" s="37"/>
      <c r="O456" s="37"/>
      <c r="P456" s="37"/>
      <c r="Q456" s="37"/>
      <c r="R456" s="37"/>
      <c r="S456" s="37"/>
      <c r="T456" s="37"/>
      <c r="U456" s="37"/>
      <c r="V456" s="37"/>
      <c r="W456" s="37"/>
      <c r="X456" s="37"/>
      <c r="Y456" s="37"/>
      <c r="Z456" s="37"/>
      <c r="AA456" s="37"/>
      <c r="AB456" s="37"/>
      <c r="AC456" s="37"/>
      <c r="AD456" s="37"/>
      <c r="AE456" s="37"/>
    </row>
    <row r="457" spans="1:31" x14ac:dyDescent="0.25">
      <c r="A457" s="37"/>
      <c r="B457" s="37"/>
      <c r="C457" s="37"/>
      <c r="D457" s="37"/>
      <c r="E457" s="37"/>
      <c r="F457" s="37"/>
      <c r="G457" s="37"/>
      <c r="H457" s="37"/>
      <c r="I457" s="37"/>
      <c r="J457" s="37"/>
      <c r="K457" s="37"/>
      <c r="L457" s="37"/>
      <c r="M457" s="37"/>
      <c r="N457" s="37"/>
      <c r="O457" s="37"/>
      <c r="P457" s="37"/>
      <c r="Q457" s="37"/>
      <c r="R457" s="37"/>
      <c r="S457" s="37"/>
      <c r="T457" s="37"/>
      <c r="U457" s="37"/>
      <c r="V457" s="37"/>
      <c r="W457" s="37"/>
      <c r="X457" s="37"/>
      <c r="Y457" s="37"/>
      <c r="Z457" s="37"/>
      <c r="AA457" s="37"/>
      <c r="AB457" s="37"/>
      <c r="AC457" s="37"/>
      <c r="AD457" s="37"/>
      <c r="AE457" s="37"/>
    </row>
    <row r="458" spans="1:31" x14ac:dyDescent="0.25">
      <c r="A458" s="37"/>
      <c r="B458" s="37"/>
      <c r="C458" s="37"/>
      <c r="D458" s="37"/>
      <c r="E458" s="37"/>
      <c r="F458" s="37"/>
      <c r="G458" s="37"/>
      <c r="H458" s="37"/>
      <c r="I458" s="37"/>
      <c r="J458" s="37"/>
      <c r="K458" s="37"/>
      <c r="L458" s="37"/>
      <c r="M458" s="37"/>
      <c r="N458" s="37"/>
      <c r="O458" s="37"/>
      <c r="P458" s="37"/>
      <c r="Q458" s="37"/>
      <c r="R458" s="37"/>
      <c r="S458" s="37"/>
      <c r="T458" s="37"/>
      <c r="U458" s="37"/>
      <c r="V458" s="37"/>
      <c r="W458" s="37"/>
      <c r="X458" s="37"/>
      <c r="Y458" s="37"/>
      <c r="Z458" s="37"/>
      <c r="AA458" s="37"/>
      <c r="AB458" s="37"/>
      <c r="AC458" s="37"/>
      <c r="AD458" s="37"/>
      <c r="AE458" s="37"/>
    </row>
    <row r="459" spans="1:31" x14ac:dyDescent="0.25">
      <c r="A459" s="37"/>
      <c r="B459" s="37"/>
      <c r="C459" s="37"/>
      <c r="D459" s="37"/>
      <c r="E459" s="37"/>
      <c r="F459" s="37"/>
      <c r="G459" s="37"/>
      <c r="H459" s="37"/>
      <c r="I459" s="37"/>
      <c r="J459" s="37"/>
      <c r="K459" s="37"/>
      <c r="L459" s="37"/>
      <c r="M459" s="37"/>
      <c r="N459" s="37"/>
      <c r="O459" s="37"/>
      <c r="P459" s="37"/>
      <c r="Q459" s="37"/>
      <c r="R459" s="37"/>
      <c r="S459" s="37"/>
      <c r="T459" s="37"/>
      <c r="U459" s="37"/>
      <c r="V459" s="37"/>
      <c r="W459" s="37"/>
      <c r="X459" s="37"/>
      <c r="Y459" s="37"/>
      <c r="Z459" s="37"/>
      <c r="AA459" s="37"/>
      <c r="AB459" s="37"/>
      <c r="AC459" s="37"/>
      <c r="AD459" s="37"/>
      <c r="AE459" s="37"/>
    </row>
    <row r="460" spans="1:31" x14ac:dyDescent="0.25">
      <c r="A460" s="37"/>
      <c r="B460" s="37"/>
      <c r="C460" s="37"/>
      <c r="D460" s="37"/>
      <c r="E460" s="37"/>
      <c r="F460" s="37"/>
      <c r="G460" s="37"/>
      <c r="H460" s="37"/>
      <c r="I460" s="37"/>
      <c r="J460" s="37"/>
      <c r="K460" s="37"/>
      <c r="L460" s="37"/>
      <c r="M460" s="37"/>
      <c r="N460" s="37"/>
      <c r="O460" s="37"/>
      <c r="P460" s="37"/>
      <c r="Q460" s="37"/>
      <c r="R460" s="37"/>
      <c r="S460" s="37"/>
      <c r="T460" s="37"/>
      <c r="U460" s="37"/>
      <c r="V460" s="37"/>
      <c r="W460" s="37"/>
      <c r="X460" s="37"/>
      <c r="Y460" s="37"/>
      <c r="Z460" s="37"/>
      <c r="AA460" s="37"/>
      <c r="AB460" s="37"/>
      <c r="AC460" s="37"/>
      <c r="AD460" s="37"/>
      <c r="AE460" s="37"/>
    </row>
    <row r="461" spans="1:31" x14ac:dyDescent="0.25">
      <c r="A461" s="37"/>
      <c r="B461" s="37"/>
      <c r="C461" s="37"/>
      <c r="D461" s="37"/>
      <c r="E461" s="37"/>
      <c r="F461" s="37"/>
      <c r="G461" s="37"/>
      <c r="H461" s="37"/>
      <c r="I461" s="37"/>
      <c r="J461" s="37"/>
      <c r="K461" s="37"/>
      <c r="L461" s="37"/>
      <c r="M461" s="37"/>
      <c r="N461" s="37"/>
      <c r="O461" s="37"/>
      <c r="P461" s="37"/>
      <c r="Q461" s="37"/>
      <c r="R461" s="37"/>
      <c r="S461" s="37"/>
      <c r="T461" s="37"/>
      <c r="U461" s="37"/>
      <c r="V461" s="37"/>
      <c r="W461" s="37"/>
      <c r="X461" s="37"/>
      <c r="Y461" s="37"/>
      <c r="Z461" s="37"/>
      <c r="AA461" s="37"/>
      <c r="AB461" s="37"/>
      <c r="AC461" s="37"/>
      <c r="AD461" s="37"/>
      <c r="AE461" s="37"/>
    </row>
    <row r="462" spans="1:31" x14ac:dyDescent="0.25">
      <c r="A462" s="37"/>
      <c r="B462" s="37"/>
      <c r="C462" s="37"/>
      <c r="D462" s="37"/>
      <c r="E462" s="37"/>
      <c r="F462" s="37"/>
      <c r="G462" s="37"/>
      <c r="H462" s="37"/>
      <c r="I462" s="37"/>
      <c r="J462" s="37"/>
      <c r="K462" s="37"/>
      <c r="L462" s="37"/>
      <c r="M462" s="37"/>
      <c r="N462" s="37"/>
      <c r="O462" s="37"/>
      <c r="P462" s="37"/>
      <c r="Q462" s="37"/>
      <c r="R462" s="37"/>
      <c r="S462" s="37"/>
      <c r="T462" s="37"/>
      <c r="U462" s="37"/>
      <c r="V462" s="37"/>
      <c r="W462" s="37"/>
      <c r="X462" s="37"/>
      <c r="Y462" s="37"/>
      <c r="Z462" s="37"/>
      <c r="AA462" s="37"/>
      <c r="AB462" s="37"/>
      <c r="AC462" s="37"/>
      <c r="AD462" s="37"/>
      <c r="AE462" s="37"/>
    </row>
    <row r="463" spans="1:31" x14ac:dyDescent="0.25">
      <c r="A463" s="37"/>
      <c r="B463" s="37"/>
      <c r="C463" s="37"/>
      <c r="D463" s="37"/>
      <c r="E463" s="37"/>
      <c r="F463" s="37"/>
      <c r="G463" s="37"/>
      <c r="H463" s="37"/>
      <c r="I463" s="37"/>
      <c r="J463" s="37"/>
      <c r="K463" s="37"/>
      <c r="L463" s="37"/>
      <c r="M463" s="37"/>
      <c r="N463" s="37"/>
      <c r="O463" s="37"/>
      <c r="P463" s="37"/>
      <c r="Q463" s="37"/>
      <c r="R463" s="37"/>
      <c r="S463" s="37"/>
      <c r="T463" s="37"/>
      <c r="U463" s="37"/>
      <c r="V463" s="37"/>
      <c r="W463" s="37"/>
      <c r="X463" s="37"/>
      <c r="Y463" s="37"/>
      <c r="Z463" s="37"/>
      <c r="AA463" s="37"/>
      <c r="AB463" s="37"/>
      <c r="AC463" s="37"/>
      <c r="AD463" s="37"/>
      <c r="AE463" s="37"/>
    </row>
    <row r="464" spans="1:31" x14ac:dyDescent="0.25">
      <c r="A464" s="37"/>
      <c r="B464" s="37"/>
      <c r="C464" s="37"/>
      <c r="D464" s="37"/>
      <c r="E464" s="37"/>
      <c r="F464" s="37"/>
      <c r="G464" s="37"/>
      <c r="H464" s="37"/>
      <c r="I464" s="37"/>
      <c r="J464" s="37"/>
      <c r="K464" s="37"/>
      <c r="L464" s="37"/>
      <c r="M464" s="37"/>
      <c r="N464" s="37"/>
      <c r="O464" s="37"/>
      <c r="P464" s="37"/>
      <c r="Q464" s="37"/>
      <c r="R464" s="37"/>
      <c r="S464" s="37"/>
      <c r="T464" s="37"/>
      <c r="U464" s="37"/>
      <c r="V464" s="37"/>
      <c r="W464" s="37"/>
      <c r="X464" s="37"/>
      <c r="Y464" s="37"/>
      <c r="Z464" s="37"/>
      <c r="AA464" s="37"/>
      <c r="AB464" s="37"/>
      <c r="AC464" s="37"/>
      <c r="AD464" s="37"/>
      <c r="AE464" s="37"/>
    </row>
    <row r="465" spans="1:31" x14ac:dyDescent="0.25">
      <c r="A465" s="37"/>
      <c r="B465" s="37"/>
      <c r="C465" s="37"/>
      <c r="D465" s="37"/>
      <c r="E465" s="37"/>
      <c r="F465" s="37"/>
      <c r="G465" s="37"/>
      <c r="H465" s="37"/>
      <c r="I465" s="37"/>
      <c r="J465" s="37"/>
      <c r="K465" s="37"/>
      <c r="L465" s="37"/>
      <c r="M465" s="37"/>
      <c r="N465" s="37"/>
      <c r="O465" s="37"/>
      <c r="P465" s="37"/>
      <c r="Q465" s="37"/>
      <c r="R465" s="37"/>
      <c r="S465" s="37"/>
      <c r="T465" s="37"/>
      <c r="U465" s="37"/>
      <c r="V465" s="37"/>
      <c r="W465" s="37"/>
      <c r="X465" s="37"/>
      <c r="Y465" s="37"/>
      <c r="Z465" s="37"/>
      <c r="AA465" s="37"/>
      <c r="AB465" s="37"/>
      <c r="AC465" s="37"/>
      <c r="AD465" s="37"/>
      <c r="AE465" s="37"/>
    </row>
    <row r="466" spans="1:31" x14ac:dyDescent="0.25">
      <c r="A466" s="37"/>
      <c r="B466" s="37"/>
      <c r="C466" s="37"/>
      <c r="D466" s="37"/>
      <c r="E466" s="37"/>
      <c r="F466" s="37"/>
      <c r="G466" s="37"/>
      <c r="H466" s="37"/>
      <c r="I466" s="37"/>
      <c r="J466" s="37"/>
      <c r="K466" s="37"/>
      <c r="L466" s="37"/>
      <c r="M466" s="37"/>
      <c r="N466" s="37"/>
      <c r="O466" s="37"/>
      <c r="P466" s="37"/>
      <c r="Q466" s="37"/>
      <c r="R466" s="37"/>
      <c r="S466" s="37"/>
      <c r="T466" s="37"/>
      <c r="U466" s="37"/>
      <c r="V466" s="37"/>
      <c r="W466" s="37"/>
      <c r="X466" s="37"/>
      <c r="Y466" s="37"/>
      <c r="Z466" s="37"/>
      <c r="AA466" s="37"/>
      <c r="AB466" s="37"/>
      <c r="AC466" s="37"/>
      <c r="AD466" s="37"/>
      <c r="AE466" s="37"/>
    </row>
    <row r="467" spans="1:31" x14ac:dyDescent="0.25">
      <c r="A467" s="37"/>
      <c r="B467" s="37"/>
      <c r="C467" s="37"/>
      <c r="D467" s="37"/>
      <c r="E467" s="37"/>
      <c r="F467" s="37"/>
      <c r="G467" s="37"/>
      <c r="H467" s="37"/>
      <c r="I467" s="37"/>
      <c r="J467" s="37"/>
      <c r="K467" s="37"/>
      <c r="L467" s="37"/>
      <c r="M467" s="37"/>
      <c r="N467" s="37"/>
      <c r="O467" s="37"/>
      <c r="P467" s="37"/>
      <c r="Q467" s="37"/>
      <c r="R467" s="37"/>
      <c r="S467" s="37"/>
      <c r="T467" s="37"/>
      <c r="U467" s="37"/>
      <c r="V467" s="37"/>
      <c r="W467" s="37"/>
      <c r="X467" s="37"/>
      <c r="Y467" s="37"/>
      <c r="Z467" s="37"/>
      <c r="AA467" s="37"/>
      <c r="AB467" s="37"/>
      <c r="AC467" s="37"/>
      <c r="AD467" s="37"/>
      <c r="AE467" s="37"/>
    </row>
    <row r="468" spans="1:31" x14ac:dyDescent="0.25">
      <c r="A468" s="37"/>
      <c r="B468" s="37"/>
      <c r="C468" s="37"/>
      <c r="D468" s="37"/>
      <c r="E468" s="37"/>
      <c r="F468" s="37"/>
      <c r="G468" s="37"/>
      <c r="H468" s="37"/>
      <c r="I468" s="37"/>
      <c r="J468" s="37"/>
      <c r="K468" s="37"/>
      <c r="L468" s="37"/>
      <c r="M468" s="37"/>
      <c r="N468" s="37"/>
      <c r="O468" s="37"/>
      <c r="P468" s="37"/>
      <c r="Q468" s="37"/>
      <c r="R468" s="37"/>
      <c r="S468" s="37"/>
      <c r="T468" s="37"/>
      <c r="U468" s="37"/>
      <c r="V468" s="37"/>
      <c r="W468" s="37"/>
      <c r="X468" s="37"/>
      <c r="Y468" s="37"/>
      <c r="Z468" s="37"/>
      <c r="AA468" s="37"/>
      <c r="AB468" s="37"/>
      <c r="AC468" s="37"/>
      <c r="AD468" s="37"/>
      <c r="AE468" s="37"/>
    </row>
    <row r="469" spans="1:31" x14ac:dyDescent="0.25">
      <c r="A469" s="37"/>
      <c r="B469" s="37"/>
      <c r="C469" s="37"/>
      <c r="D469" s="37"/>
      <c r="E469" s="37"/>
      <c r="F469" s="37"/>
      <c r="G469" s="37"/>
      <c r="H469" s="37"/>
      <c r="I469" s="37"/>
      <c r="J469" s="37"/>
      <c r="K469" s="37"/>
      <c r="L469" s="37"/>
      <c r="M469" s="37"/>
      <c r="N469" s="37"/>
      <c r="O469" s="37"/>
      <c r="P469" s="37"/>
      <c r="Q469" s="37"/>
      <c r="R469" s="37"/>
      <c r="S469" s="37"/>
      <c r="T469" s="37"/>
      <c r="U469" s="37"/>
      <c r="V469" s="37"/>
      <c r="W469" s="37"/>
      <c r="X469" s="37"/>
      <c r="Y469" s="37"/>
      <c r="Z469" s="37"/>
      <c r="AA469" s="37"/>
      <c r="AB469" s="37"/>
      <c r="AC469" s="37"/>
      <c r="AD469" s="37"/>
      <c r="AE469" s="37"/>
    </row>
    <row r="470" spans="1:31" x14ac:dyDescent="0.25">
      <c r="A470" s="37"/>
      <c r="B470" s="37"/>
      <c r="C470" s="37"/>
      <c r="D470" s="37"/>
      <c r="E470" s="37"/>
      <c r="F470" s="37"/>
      <c r="G470" s="37"/>
      <c r="H470" s="37"/>
      <c r="I470" s="37"/>
      <c r="J470" s="37"/>
      <c r="K470" s="37"/>
      <c r="L470" s="37"/>
      <c r="M470" s="37"/>
      <c r="N470" s="37"/>
      <c r="O470" s="37"/>
      <c r="P470" s="37"/>
      <c r="Q470" s="37"/>
      <c r="R470" s="37"/>
      <c r="S470" s="37"/>
      <c r="T470" s="37"/>
      <c r="U470" s="37"/>
      <c r="V470" s="37"/>
      <c r="W470" s="37"/>
      <c r="X470" s="37"/>
      <c r="Y470" s="37"/>
      <c r="Z470" s="37"/>
      <c r="AA470" s="37"/>
      <c r="AB470" s="37"/>
      <c r="AC470" s="37"/>
      <c r="AD470" s="37"/>
      <c r="AE470" s="37"/>
    </row>
    <row r="471" spans="1:31" x14ac:dyDescent="0.25">
      <c r="A471" s="37"/>
      <c r="B471" s="37"/>
      <c r="C471" s="37"/>
      <c r="D471" s="37"/>
      <c r="E471" s="37"/>
      <c r="F471" s="37"/>
      <c r="G471" s="37"/>
      <c r="H471" s="37"/>
      <c r="I471" s="37"/>
      <c r="J471" s="37"/>
      <c r="K471" s="37"/>
      <c r="L471" s="37"/>
      <c r="M471" s="37"/>
      <c r="N471" s="37"/>
      <c r="O471" s="37"/>
      <c r="P471" s="37"/>
      <c r="Q471" s="37"/>
      <c r="R471" s="37"/>
      <c r="S471" s="37"/>
      <c r="T471" s="37"/>
      <c r="U471" s="37"/>
      <c r="V471" s="37"/>
      <c r="W471" s="37"/>
      <c r="X471" s="37"/>
      <c r="Y471" s="37"/>
      <c r="Z471" s="37"/>
      <c r="AA471" s="37"/>
      <c r="AB471" s="37"/>
      <c r="AC471" s="37"/>
      <c r="AD471" s="37"/>
      <c r="AE471" s="37"/>
    </row>
    <row r="472" spans="1:31" x14ac:dyDescent="0.25">
      <c r="A472" s="37"/>
      <c r="B472" s="37"/>
      <c r="C472" s="37"/>
      <c r="D472" s="37"/>
      <c r="E472" s="37"/>
      <c r="F472" s="37"/>
      <c r="G472" s="37"/>
      <c r="H472" s="37"/>
      <c r="I472" s="37"/>
      <c r="J472" s="37"/>
      <c r="K472" s="37"/>
      <c r="L472" s="37"/>
      <c r="M472" s="37"/>
      <c r="N472" s="37"/>
      <c r="O472" s="37"/>
      <c r="P472" s="37"/>
      <c r="Q472" s="37"/>
      <c r="R472" s="37"/>
      <c r="S472" s="37"/>
      <c r="T472" s="37"/>
      <c r="U472" s="37"/>
      <c r="V472" s="37"/>
      <c r="W472" s="37"/>
      <c r="X472" s="37"/>
      <c r="Y472" s="37"/>
      <c r="Z472" s="37"/>
      <c r="AA472" s="37"/>
      <c r="AB472" s="37"/>
      <c r="AC472" s="37"/>
      <c r="AD472" s="37"/>
      <c r="AE472" s="37"/>
    </row>
    <row r="473" spans="1:31" x14ac:dyDescent="0.25">
      <c r="A473" s="37"/>
      <c r="B473" s="37"/>
      <c r="C473" s="37"/>
      <c r="D473" s="37"/>
      <c r="E473" s="37"/>
      <c r="F473" s="37"/>
      <c r="G473" s="37"/>
      <c r="H473" s="37"/>
      <c r="I473" s="37"/>
      <c r="J473" s="37"/>
      <c r="K473" s="37"/>
      <c r="L473" s="37"/>
      <c r="M473" s="37"/>
      <c r="N473" s="37"/>
      <c r="O473" s="37"/>
      <c r="P473" s="37"/>
      <c r="Q473" s="37"/>
      <c r="R473" s="37"/>
      <c r="S473" s="37"/>
      <c r="T473" s="37"/>
      <c r="U473" s="37"/>
      <c r="V473" s="37"/>
      <c r="W473" s="37"/>
      <c r="X473" s="37"/>
      <c r="Y473" s="37"/>
      <c r="Z473" s="37"/>
      <c r="AA473" s="37"/>
      <c r="AB473" s="37"/>
      <c r="AC473" s="37"/>
      <c r="AD473" s="37"/>
      <c r="AE473" s="37"/>
    </row>
    <row r="474" spans="1:31" x14ac:dyDescent="0.25">
      <c r="A474" s="37"/>
      <c r="B474" s="37"/>
      <c r="C474" s="37"/>
      <c r="D474" s="37"/>
      <c r="E474" s="37"/>
      <c r="F474" s="37"/>
      <c r="G474" s="37"/>
      <c r="H474" s="37"/>
      <c r="I474" s="37"/>
      <c r="J474" s="37"/>
      <c r="K474" s="37"/>
      <c r="L474" s="37"/>
      <c r="M474" s="37"/>
      <c r="N474" s="37"/>
      <c r="O474" s="37"/>
      <c r="P474" s="37"/>
      <c r="Q474" s="37"/>
      <c r="R474" s="37"/>
      <c r="S474" s="37"/>
      <c r="T474" s="37"/>
      <c r="U474" s="37"/>
      <c r="V474" s="37"/>
      <c r="W474" s="37"/>
      <c r="X474" s="37"/>
      <c r="Y474" s="37"/>
      <c r="Z474" s="37"/>
      <c r="AA474" s="37"/>
      <c r="AB474" s="37"/>
      <c r="AC474" s="37"/>
      <c r="AD474" s="37"/>
      <c r="AE474" s="37"/>
    </row>
    <row r="475" spans="1:31" x14ac:dyDescent="0.25">
      <c r="A475" s="37"/>
      <c r="B475" s="37"/>
      <c r="C475" s="37"/>
      <c r="D475" s="37"/>
      <c r="E475" s="37"/>
      <c r="F475" s="37"/>
      <c r="G475" s="37"/>
      <c r="H475" s="37"/>
      <c r="I475" s="37"/>
      <c r="J475" s="37"/>
      <c r="K475" s="37"/>
      <c r="L475" s="37"/>
      <c r="M475" s="37"/>
      <c r="N475" s="37"/>
      <c r="O475" s="37"/>
      <c r="P475" s="37"/>
      <c r="Q475" s="37"/>
      <c r="R475" s="37"/>
      <c r="S475" s="37"/>
      <c r="T475" s="37"/>
      <c r="U475" s="37"/>
      <c r="V475" s="37"/>
      <c r="W475" s="37"/>
      <c r="X475" s="37"/>
      <c r="Y475" s="37"/>
      <c r="Z475" s="37"/>
      <c r="AA475" s="37"/>
      <c r="AB475" s="37"/>
      <c r="AC475" s="37"/>
      <c r="AD475" s="37"/>
      <c r="AE475" s="37"/>
    </row>
    <row r="476" spans="1:31" x14ac:dyDescent="0.25">
      <c r="A476" s="37"/>
      <c r="B476" s="37"/>
      <c r="C476" s="37"/>
      <c r="D476" s="37"/>
      <c r="E476" s="37"/>
      <c r="F476" s="37"/>
      <c r="G476" s="37"/>
      <c r="H476" s="37"/>
      <c r="I476" s="37"/>
      <c r="J476" s="37"/>
      <c r="K476" s="37"/>
      <c r="L476" s="37"/>
      <c r="M476" s="37"/>
      <c r="N476" s="37"/>
      <c r="O476" s="37"/>
      <c r="P476" s="37"/>
      <c r="Q476" s="37"/>
      <c r="R476" s="37"/>
      <c r="S476" s="37"/>
      <c r="T476" s="37"/>
      <c r="U476" s="37"/>
      <c r="V476" s="37"/>
      <c r="W476" s="37"/>
      <c r="X476" s="37"/>
      <c r="Y476" s="37"/>
      <c r="Z476" s="37"/>
      <c r="AA476" s="37"/>
      <c r="AB476" s="37"/>
      <c r="AC476" s="37"/>
      <c r="AD476" s="37"/>
      <c r="AE476" s="37"/>
    </row>
    <row r="477" spans="1:31" x14ac:dyDescent="0.25">
      <c r="A477" s="37"/>
      <c r="B477" s="37"/>
      <c r="C477" s="37"/>
      <c r="D477" s="37"/>
      <c r="E477" s="37"/>
      <c r="F477" s="37"/>
      <c r="G477" s="37"/>
      <c r="H477" s="37"/>
      <c r="I477" s="37"/>
      <c r="J477" s="37"/>
      <c r="K477" s="37"/>
      <c r="L477" s="37"/>
      <c r="M477" s="37"/>
      <c r="N477" s="37"/>
      <c r="O477" s="37"/>
      <c r="P477" s="37"/>
      <c r="Q477" s="37"/>
      <c r="R477" s="37"/>
      <c r="S477" s="37"/>
      <c r="T477" s="37"/>
      <c r="U477" s="37"/>
      <c r="V477" s="37"/>
      <c r="W477" s="37"/>
      <c r="X477" s="37"/>
      <c r="Y477" s="37"/>
      <c r="Z477" s="37"/>
      <c r="AA477" s="37"/>
      <c r="AB477" s="37"/>
      <c r="AC477" s="37"/>
      <c r="AD477" s="37"/>
      <c r="AE477" s="37"/>
    </row>
    <row r="478" spans="1:31" x14ac:dyDescent="0.25">
      <c r="A478" s="37"/>
      <c r="B478" s="37"/>
      <c r="C478" s="37"/>
      <c r="D478" s="37"/>
      <c r="E478" s="37"/>
      <c r="F478" s="37"/>
      <c r="G478" s="37"/>
      <c r="H478" s="37"/>
      <c r="I478" s="37"/>
      <c r="J478" s="37"/>
      <c r="K478" s="37"/>
      <c r="L478" s="37"/>
      <c r="M478" s="37"/>
      <c r="N478" s="37"/>
      <c r="O478" s="37"/>
      <c r="P478" s="37"/>
      <c r="Q478" s="37"/>
      <c r="R478" s="37"/>
      <c r="S478" s="37"/>
      <c r="T478" s="37"/>
      <c r="U478" s="37"/>
      <c r="V478" s="37"/>
      <c r="W478" s="37"/>
      <c r="X478" s="37"/>
      <c r="Y478" s="37"/>
      <c r="Z478" s="37"/>
      <c r="AA478" s="37"/>
      <c r="AB478" s="37"/>
      <c r="AC478" s="37"/>
      <c r="AD478" s="37"/>
      <c r="AE478" s="37"/>
    </row>
    <row r="479" spans="1:31" x14ac:dyDescent="0.25">
      <c r="A479" s="37"/>
      <c r="B479" s="37"/>
      <c r="C479" s="37"/>
      <c r="D479" s="37"/>
      <c r="E479" s="37"/>
      <c r="F479" s="37"/>
      <c r="G479" s="37"/>
      <c r="H479" s="37"/>
      <c r="I479" s="37"/>
      <c r="J479" s="37"/>
      <c r="K479" s="37"/>
      <c r="L479" s="37"/>
      <c r="M479" s="37"/>
      <c r="N479" s="37"/>
      <c r="O479" s="37"/>
      <c r="P479" s="37"/>
      <c r="Q479" s="37"/>
      <c r="R479" s="37"/>
      <c r="S479" s="37"/>
      <c r="T479" s="37"/>
      <c r="U479" s="37"/>
      <c r="V479" s="37"/>
      <c r="W479" s="37"/>
      <c r="X479" s="37"/>
      <c r="Y479" s="37"/>
      <c r="Z479" s="37"/>
      <c r="AA479" s="37"/>
      <c r="AB479" s="37"/>
      <c r="AC479" s="37"/>
      <c r="AD479" s="37"/>
      <c r="AE479" s="37"/>
    </row>
    <row r="480" spans="1:31" x14ac:dyDescent="0.25">
      <c r="A480" s="37"/>
      <c r="B480" s="37"/>
      <c r="C480" s="37"/>
      <c r="D480" s="37"/>
      <c r="E480" s="37"/>
      <c r="F480" s="37"/>
      <c r="G480" s="37"/>
      <c r="H480" s="37"/>
      <c r="I480" s="37"/>
      <c r="J480" s="37"/>
      <c r="K480" s="37"/>
      <c r="L480" s="37"/>
      <c r="M480" s="37"/>
      <c r="N480" s="37"/>
      <c r="O480" s="37"/>
      <c r="P480" s="37"/>
      <c r="Q480" s="37"/>
      <c r="R480" s="37"/>
      <c r="S480" s="37"/>
      <c r="T480" s="37"/>
      <c r="U480" s="37"/>
      <c r="V480" s="37"/>
      <c r="W480" s="37"/>
      <c r="X480" s="37"/>
      <c r="Y480" s="37"/>
      <c r="Z480" s="37"/>
      <c r="AA480" s="37"/>
      <c r="AB480" s="37"/>
      <c r="AC480" s="37"/>
      <c r="AD480" s="37"/>
      <c r="AE480" s="37"/>
    </row>
    <row r="481" spans="1:31" x14ac:dyDescent="0.25">
      <c r="A481" s="37"/>
      <c r="B481" s="37"/>
      <c r="C481" s="37"/>
      <c r="D481" s="37"/>
      <c r="E481" s="37"/>
      <c r="F481" s="37"/>
      <c r="G481" s="37"/>
      <c r="H481" s="37"/>
      <c r="I481" s="37"/>
      <c r="J481" s="37"/>
      <c r="K481" s="37"/>
      <c r="L481" s="37"/>
      <c r="M481" s="37"/>
      <c r="N481" s="37"/>
      <c r="O481" s="37"/>
      <c r="P481" s="37"/>
      <c r="Q481" s="37"/>
      <c r="R481" s="37"/>
      <c r="S481" s="37"/>
      <c r="T481" s="37"/>
      <c r="U481" s="37"/>
      <c r="V481" s="37"/>
      <c r="W481" s="37"/>
      <c r="X481" s="37"/>
      <c r="Y481" s="37"/>
      <c r="Z481" s="37"/>
      <c r="AA481" s="37"/>
      <c r="AB481" s="37"/>
      <c r="AC481" s="37"/>
      <c r="AD481" s="37"/>
      <c r="AE481" s="37"/>
    </row>
    <row r="482" spans="1:31" x14ac:dyDescent="0.25">
      <c r="A482" s="37"/>
      <c r="B482" s="37"/>
      <c r="C482" s="37"/>
      <c r="D482" s="37"/>
      <c r="E482" s="37"/>
      <c r="F482" s="37"/>
      <c r="G482" s="37"/>
      <c r="H482" s="37"/>
      <c r="I482" s="37"/>
      <c r="J482" s="37"/>
      <c r="K482" s="37"/>
      <c r="L482" s="37"/>
      <c r="M482" s="37"/>
      <c r="N482" s="37"/>
      <c r="O482" s="37"/>
      <c r="P482" s="37"/>
      <c r="Q482" s="37"/>
      <c r="R482" s="37"/>
      <c r="S482" s="37"/>
      <c r="T482" s="37"/>
      <c r="U482" s="37"/>
      <c r="V482" s="37"/>
      <c r="W482" s="37"/>
      <c r="X482" s="37"/>
      <c r="Y482" s="37"/>
      <c r="Z482" s="37"/>
      <c r="AA482" s="37"/>
      <c r="AB482" s="37"/>
      <c r="AC482" s="37"/>
      <c r="AD482" s="37"/>
      <c r="AE482" s="37"/>
    </row>
    <row r="483" spans="1:31" x14ac:dyDescent="0.25">
      <c r="A483" s="37"/>
      <c r="B483" s="37"/>
      <c r="C483" s="37"/>
      <c r="D483" s="37"/>
      <c r="E483" s="37"/>
      <c r="F483" s="37"/>
      <c r="G483" s="37"/>
      <c r="H483" s="37"/>
      <c r="I483" s="37"/>
      <c r="J483" s="37"/>
      <c r="K483" s="37"/>
      <c r="L483" s="37"/>
      <c r="M483" s="37"/>
      <c r="N483" s="37"/>
      <c r="O483" s="37"/>
      <c r="P483" s="37"/>
      <c r="Q483" s="37"/>
      <c r="R483" s="37"/>
      <c r="S483" s="37"/>
      <c r="T483" s="37"/>
      <c r="U483" s="37"/>
      <c r="V483" s="37"/>
      <c r="W483" s="37"/>
      <c r="X483" s="37"/>
      <c r="Y483" s="37"/>
      <c r="Z483" s="37"/>
      <c r="AA483" s="37"/>
      <c r="AB483" s="37"/>
      <c r="AC483" s="37"/>
      <c r="AD483" s="37"/>
      <c r="AE483" s="37"/>
    </row>
    <row r="484" spans="1:31" x14ac:dyDescent="0.25">
      <c r="A484" s="37"/>
      <c r="B484" s="37"/>
      <c r="C484" s="37"/>
      <c r="D484" s="37"/>
      <c r="E484" s="37"/>
      <c r="F484" s="37"/>
      <c r="G484" s="37"/>
      <c r="H484" s="37"/>
      <c r="I484" s="37"/>
      <c r="J484" s="37"/>
      <c r="K484" s="37"/>
      <c r="L484" s="37"/>
      <c r="M484" s="37"/>
      <c r="N484" s="37"/>
      <c r="O484" s="37"/>
      <c r="P484" s="37"/>
      <c r="Q484" s="37"/>
      <c r="R484" s="37"/>
      <c r="S484" s="37"/>
      <c r="T484" s="37"/>
      <c r="U484" s="37"/>
      <c r="V484" s="37"/>
      <c r="W484" s="37"/>
      <c r="X484" s="37"/>
      <c r="Y484" s="37"/>
      <c r="Z484" s="37"/>
      <c r="AA484" s="37"/>
      <c r="AB484" s="37"/>
      <c r="AC484" s="37"/>
      <c r="AD484" s="37"/>
      <c r="AE484" s="37"/>
    </row>
    <row r="485" spans="1:31" x14ac:dyDescent="0.25">
      <c r="A485" s="37"/>
      <c r="B485" s="37"/>
      <c r="C485" s="37"/>
      <c r="D485" s="37"/>
      <c r="E485" s="37"/>
      <c r="F485" s="37"/>
      <c r="G485" s="37"/>
      <c r="H485" s="37"/>
      <c r="I485" s="37"/>
      <c r="J485" s="37"/>
      <c r="K485" s="37"/>
      <c r="L485" s="37"/>
      <c r="M485" s="37"/>
      <c r="N485" s="37"/>
      <c r="O485" s="37"/>
      <c r="P485" s="37"/>
      <c r="Q485" s="37"/>
      <c r="R485" s="37"/>
      <c r="S485" s="37"/>
      <c r="T485" s="37"/>
      <c r="U485" s="37"/>
      <c r="V485" s="37"/>
      <c r="W485" s="37"/>
      <c r="X485" s="37"/>
      <c r="Y485" s="37"/>
      <c r="Z485" s="37"/>
      <c r="AA485" s="37"/>
      <c r="AB485" s="37"/>
      <c r="AC485" s="37"/>
      <c r="AD485" s="37"/>
      <c r="AE485" s="37"/>
    </row>
    <row r="486" spans="1:31" x14ac:dyDescent="0.25">
      <c r="A486" s="37"/>
      <c r="B486" s="37"/>
      <c r="C486" s="37"/>
      <c r="D486" s="37"/>
      <c r="E486" s="37"/>
      <c r="F486" s="37"/>
      <c r="G486" s="37"/>
      <c r="H486" s="37"/>
      <c r="I486" s="37"/>
      <c r="J486" s="37"/>
      <c r="K486" s="37"/>
      <c r="L486" s="37"/>
      <c r="M486" s="37"/>
      <c r="N486" s="37"/>
      <c r="O486" s="37"/>
      <c r="P486" s="37"/>
      <c r="Q486" s="37"/>
      <c r="R486" s="37"/>
      <c r="S486" s="37"/>
      <c r="T486" s="37"/>
      <c r="U486" s="37"/>
      <c r="V486" s="37"/>
      <c r="W486" s="37"/>
      <c r="X486" s="37"/>
      <c r="Y486" s="37"/>
      <c r="Z486" s="37"/>
      <c r="AA486" s="37"/>
      <c r="AB486" s="37"/>
      <c r="AC486" s="37"/>
      <c r="AD486" s="37"/>
      <c r="AE486" s="37"/>
    </row>
    <row r="487" spans="1:31" x14ac:dyDescent="0.25">
      <c r="A487" s="37"/>
      <c r="B487" s="37"/>
      <c r="C487" s="37"/>
      <c r="D487" s="37"/>
      <c r="E487" s="37"/>
      <c r="F487" s="37"/>
      <c r="G487" s="37"/>
      <c r="H487" s="37"/>
      <c r="I487" s="37"/>
      <c r="J487" s="37"/>
      <c r="K487" s="37"/>
      <c r="L487" s="37"/>
      <c r="M487" s="37"/>
      <c r="N487" s="37"/>
      <c r="O487" s="37"/>
      <c r="P487" s="37"/>
      <c r="Q487" s="37"/>
      <c r="R487" s="37"/>
      <c r="S487" s="37"/>
      <c r="T487" s="37"/>
      <c r="U487" s="37"/>
      <c r="V487" s="37"/>
      <c r="W487" s="37"/>
      <c r="X487" s="37"/>
      <c r="Y487" s="37"/>
      <c r="Z487" s="37"/>
      <c r="AA487" s="37"/>
      <c r="AB487" s="37"/>
      <c r="AC487" s="37"/>
      <c r="AD487" s="37"/>
      <c r="AE487" s="37"/>
    </row>
    <row r="488" spans="1:31" x14ac:dyDescent="0.25">
      <c r="A488" s="37"/>
      <c r="B488" s="37"/>
      <c r="C488" s="37"/>
      <c r="D488" s="37"/>
      <c r="E488" s="37"/>
      <c r="F488" s="37"/>
      <c r="G488" s="37"/>
      <c r="H488" s="37"/>
      <c r="I488" s="37"/>
      <c r="J488" s="37"/>
      <c r="K488" s="37"/>
      <c r="L488" s="37"/>
      <c r="M488" s="37"/>
      <c r="N488" s="37"/>
      <c r="O488" s="37"/>
      <c r="P488" s="37"/>
      <c r="Q488" s="37"/>
      <c r="R488" s="37"/>
      <c r="S488" s="37"/>
      <c r="T488" s="37"/>
      <c r="U488" s="37"/>
      <c r="V488" s="37"/>
      <c r="W488" s="37"/>
      <c r="X488" s="37"/>
      <c r="Y488" s="37"/>
      <c r="Z488" s="37"/>
      <c r="AA488" s="37"/>
      <c r="AB488" s="37"/>
      <c r="AC488" s="37"/>
      <c r="AD488" s="37"/>
      <c r="AE488" s="37"/>
    </row>
    <row r="489" spans="1:31" x14ac:dyDescent="0.25">
      <c r="A489" s="37"/>
      <c r="B489" s="37"/>
      <c r="C489" s="37"/>
      <c r="D489" s="37"/>
      <c r="E489" s="37"/>
      <c r="F489" s="37"/>
      <c r="G489" s="37"/>
      <c r="H489" s="37"/>
      <c r="I489" s="37"/>
      <c r="J489" s="37"/>
      <c r="K489" s="37"/>
      <c r="L489" s="37"/>
      <c r="M489" s="37"/>
      <c r="N489" s="37"/>
      <c r="O489" s="37"/>
      <c r="P489" s="37"/>
      <c r="Q489" s="37"/>
      <c r="R489" s="37"/>
      <c r="S489" s="37"/>
      <c r="T489" s="37"/>
      <c r="U489" s="37"/>
      <c r="V489" s="37"/>
      <c r="W489" s="37"/>
      <c r="X489" s="37"/>
      <c r="Y489" s="37"/>
      <c r="Z489" s="37"/>
      <c r="AA489" s="37"/>
      <c r="AB489" s="37"/>
      <c r="AC489" s="37"/>
      <c r="AD489" s="37"/>
      <c r="AE489" s="37"/>
    </row>
    <row r="490" spans="1:31" x14ac:dyDescent="0.25">
      <c r="A490" s="37"/>
      <c r="B490" s="37"/>
      <c r="C490" s="37"/>
      <c r="D490" s="37"/>
      <c r="E490" s="37"/>
      <c r="F490" s="37"/>
      <c r="G490" s="37"/>
      <c r="H490" s="37"/>
      <c r="I490" s="37"/>
      <c r="J490" s="37"/>
      <c r="K490" s="37"/>
      <c r="L490" s="37"/>
      <c r="M490" s="37"/>
      <c r="N490" s="37"/>
      <c r="O490" s="37"/>
      <c r="P490" s="37"/>
      <c r="Q490" s="37"/>
      <c r="R490" s="37"/>
      <c r="S490" s="37"/>
      <c r="T490" s="37"/>
      <c r="U490" s="37"/>
      <c r="V490" s="37"/>
      <c r="W490" s="37"/>
      <c r="X490" s="37"/>
      <c r="Y490" s="37"/>
      <c r="Z490" s="37"/>
      <c r="AA490" s="37"/>
      <c r="AB490" s="37"/>
      <c r="AC490" s="37"/>
      <c r="AD490" s="37"/>
      <c r="AE490" s="37"/>
    </row>
    <row r="491" spans="1:31" x14ac:dyDescent="0.25">
      <c r="A491" s="37"/>
      <c r="B491" s="37"/>
      <c r="C491" s="37"/>
      <c r="D491" s="37"/>
      <c r="E491" s="37"/>
      <c r="F491" s="37"/>
      <c r="G491" s="37"/>
      <c r="H491" s="37"/>
      <c r="I491" s="37"/>
      <c r="J491" s="37"/>
      <c r="K491" s="37"/>
      <c r="L491" s="37"/>
      <c r="M491" s="37"/>
      <c r="N491" s="37"/>
      <c r="O491" s="37"/>
      <c r="P491" s="37"/>
      <c r="Q491" s="37"/>
      <c r="R491" s="37"/>
      <c r="S491" s="37"/>
      <c r="T491" s="37"/>
      <c r="U491" s="37"/>
      <c r="V491" s="37"/>
      <c r="W491" s="37"/>
      <c r="X491" s="37"/>
      <c r="Y491" s="37"/>
      <c r="Z491" s="37"/>
      <c r="AA491" s="37"/>
      <c r="AB491" s="37"/>
      <c r="AC491" s="37"/>
      <c r="AD491" s="37"/>
      <c r="AE491" s="37"/>
    </row>
    <row r="492" spans="1:31" x14ac:dyDescent="0.25">
      <c r="A492" s="37"/>
      <c r="B492" s="37"/>
      <c r="C492" s="37"/>
      <c r="D492" s="37"/>
      <c r="E492" s="37"/>
      <c r="F492" s="37"/>
      <c r="G492" s="37"/>
      <c r="H492" s="37"/>
      <c r="I492" s="37"/>
      <c r="J492" s="37"/>
      <c r="K492" s="37"/>
      <c r="L492" s="37"/>
      <c r="M492" s="37"/>
      <c r="N492" s="37"/>
      <c r="O492" s="37"/>
      <c r="P492" s="37"/>
      <c r="Q492" s="37"/>
      <c r="R492" s="37"/>
      <c r="S492" s="37"/>
      <c r="T492" s="37"/>
      <c r="U492" s="37"/>
      <c r="V492" s="37"/>
      <c r="W492" s="37"/>
      <c r="X492" s="37"/>
      <c r="Y492" s="37"/>
      <c r="Z492" s="37"/>
      <c r="AA492" s="37"/>
      <c r="AB492" s="37"/>
      <c r="AC492" s="37"/>
      <c r="AD492" s="37"/>
      <c r="AE492" s="37"/>
    </row>
    <row r="493" spans="1:31" x14ac:dyDescent="0.25">
      <c r="A493" s="37"/>
      <c r="B493" s="37"/>
      <c r="C493" s="37"/>
      <c r="D493" s="37"/>
      <c r="E493" s="37"/>
      <c r="F493" s="37"/>
      <c r="G493" s="37"/>
      <c r="H493" s="37"/>
      <c r="I493" s="37"/>
      <c r="J493" s="37"/>
      <c r="K493" s="37"/>
      <c r="L493" s="37"/>
      <c r="M493" s="37"/>
      <c r="N493" s="37"/>
      <c r="O493" s="37"/>
      <c r="P493" s="37"/>
      <c r="Q493" s="37"/>
      <c r="R493" s="37"/>
      <c r="S493" s="37"/>
      <c r="T493" s="37"/>
      <c r="U493" s="37"/>
      <c r="V493" s="37"/>
      <c r="W493" s="37"/>
      <c r="X493" s="37"/>
      <c r="Y493" s="37"/>
      <c r="Z493" s="37"/>
      <c r="AA493" s="37"/>
      <c r="AB493" s="37"/>
      <c r="AC493" s="37"/>
      <c r="AD493" s="37"/>
      <c r="AE493" s="37"/>
    </row>
    <row r="494" spans="1:31" x14ac:dyDescent="0.25">
      <c r="A494" s="37"/>
      <c r="B494" s="37"/>
      <c r="C494" s="37"/>
      <c r="D494" s="37"/>
      <c r="E494" s="37"/>
      <c r="F494" s="37"/>
      <c r="G494" s="37"/>
      <c r="H494" s="37"/>
      <c r="I494" s="37"/>
      <c r="J494" s="37"/>
      <c r="K494" s="37"/>
      <c r="L494" s="37"/>
      <c r="M494" s="37"/>
      <c r="N494" s="37"/>
      <c r="O494" s="37"/>
      <c r="P494" s="37"/>
      <c r="Q494" s="37"/>
      <c r="R494" s="37"/>
      <c r="S494" s="37"/>
      <c r="T494" s="37"/>
      <c r="U494" s="37"/>
      <c r="V494" s="37"/>
      <c r="W494" s="37"/>
      <c r="X494" s="37"/>
      <c r="Y494" s="37"/>
      <c r="Z494" s="37"/>
      <c r="AA494" s="37"/>
      <c r="AB494" s="37"/>
      <c r="AC494" s="37"/>
      <c r="AD494" s="37"/>
      <c r="AE494" s="37"/>
    </row>
    <row r="495" spans="1:31" x14ac:dyDescent="0.25">
      <c r="A495" s="37"/>
      <c r="B495" s="37"/>
      <c r="C495" s="37"/>
      <c r="D495" s="37"/>
      <c r="E495" s="37"/>
      <c r="F495" s="37"/>
      <c r="G495" s="37"/>
      <c r="H495" s="37"/>
      <c r="I495" s="37"/>
      <c r="J495" s="37"/>
      <c r="K495" s="37"/>
      <c r="L495" s="37"/>
      <c r="M495" s="37"/>
      <c r="N495" s="37"/>
      <c r="O495" s="37"/>
      <c r="P495" s="37"/>
      <c r="Q495" s="37"/>
      <c r="R495" s="37"/>
      <c r="S495" s="37"/>
      <c r="T495" s="37"/>
      <c r="U495" s="37"/>
      <c r="V495" s="37"/>
      <c r="W495" s="37"/>
      <c r="X495" s="37"/>
      <c r="Y495" s="37"/>
      <c r="Z495" s="37"/>
      <c r="AA495" s="37"/>
      <c r="AB495" s="37"/>
      <c r="AC495" s="37"/>
      <c r="AD495" s="37"/>
      <c r="AE495" s="37"/>
    </row>
    <row r="496" spans="1:31" x14ac:dyDescent="0.25">
      <c r="A496" s="37"/>
      <c r="B496" s="37"/>
      <c r="C496" s="37"/>
      <c r="D496" s="37"/>
      <c r="E496" s="37"/>
      <c r="F496" s="37"/>
      <c r="G496" s="37"/>
      <c r="H496" s="37"/>
      <c r="I496" s="37"/>
      <c r="J496" s="37"/>
      <c r="K496" s="37"/>
      <c r="L496" s="37"/>
      <c r="M496" s="37"/>
      <c r="N496" s="37"/>
      <c r="O496" s="37"/>
      <c r="P496" s="37"/>
      <c r="Q496" s="37"/>
      <c r="R496" s="37"/>
      <c r="S496" s="37"/>
      <c r="T496" s="37"/>
      <c r="U496" s="37"/>
      <c r="V496" s="37"/>
      <c r="W496" s="37"/>
      <c r="X496" s="37"/>
      <c r="Y496" s="37"/>
      <c r="Z496" s="37"/>
      <c r="AA496" s="37"/>
      <c r="AB496" s="37"/>
      <c r="AC496" s="37"/>
      <c r="AD496" s="37"/>
      <c r="AE496" s="37"/>
    </row>
    <row r="497" spans="1:31" x14ac:dyDescent="0.25">
      <c r="A497" s="37"/>
      <c r="B497" s="37"/>
      <c r="C497" s="37"/>
      <c r="D497" s="37"/>
      <c r="E497" s="37"/>
      <c r="F497" s="37"/>
      <c r="G497" s="37"/>
      <c r="H497" s="37"/>
      <c r="I497" s="37"/>
      <c r="J497" s="37"/>
      <c r="K497" s="37"/>
      <c r="L497" s="37"/>
      <c r="M497" s="37"/>
      <c r="N497" s="37"/>
      <c r="O497" s="37"/>
      <c r="P497" s="37"/>
      <c r="Q497" s="37"/>
      <c r="R497" s="37"/>
      <c r="S497" s="37"/>
      <c r="T497" s="37"/>
      <c r="U497" s="37"/>
      <c r="V497" s="37"/>
      <c r="W497" s="37"/>
      <c r="X497" s="37"/>
      <c r="Y497" s="37"/>
      <c r="Z497" s="37"/>
      <c r="AA497" s="37"/>
      <c r="AB497" s="37"/>
      <c r="AC497" s="37"/>
      <c r="AD497" s="37"/>
      <c r="AE497" s="37"/>
    </row>
    <row r="498" spans="1:31" x14ac:dyDescent="0.25">
      <c r="A498" s="37"/>
      <c r="B498" s="37"/>
      <c r="C498" s="37"/>
      <c r="D498" s="37"/>
      <c r="E498" s="37"/>
      <c r="F498" s="37"/>
      <c r="G498" s="37"/>
      <c r="H498" s="37"/>
      <c r="I498" s="37"/>
      <c r="J498" s="37"/>
      <c r="K498" s="37"/>
      <c r="L498" s="37"/>
      <c r="M498" s="37"/>
      <c r="N498" s="37"/>
      <c r="O498" s="37"/>
      <c r="P498" s="37"/>
      <c r="Q498" s="37"/>
      <c r="R498" s="37"/>
      <c r="S498" s="37"/>
      <c r="T498" s="37"/>
      <c r="U498" s="37"/>
      <c r="V498" s="37"/>
      <c r="W498" s="37"/>
      <c r="X498" s="37"/>
      <c r="Y498" s="37"/>
      <c r="Z498" s="37"/>
      <c r="AA498" s="37"/>
      <c r="AB498" s="37"/>
      <c r="AC498" s="37"/>
      <c r="AD498" s="37"/>
      <c r="AE498" s="37"/>
    </row>
    <row r="499" spans="1:31" x14ac:dyDescent="0.25">
      <c r="A499" s="37"/>
      <c r="B499" s="37"/>
      <c r="C499" s="37"/>
      <c r="D499" s="37"/>
      <c r="E499" s="37"/>
      <c r="F499" s="37"/>
      <c r="G499" s="37"/>
      <c r="H499" s="37"/>
      <c r="I499" s="37"/>
      <c r="J499" s="37"/>
      <c r="K499" s="37"/>
      <c r="L499" s="37"/>
      <c r="M499" s="37"/>
      <c r="N499" s="37"/>
      <c r="O499" s="37"/>
      <c r="P499" s="37"/>
      <c r="Q499" s="37"/>
      <c r="R499" s="37"/>
      <c r="S499" s="37"/>
      <c r="T499" s="37"/>
      <c r="U499" s="37"/>
      <c r="V499" s="37"/>
      <c r="W499" s="37"/>
      <c r="X499" s="37"/>
      <c r="Y499" s="37"/>
      <c r="Z499" s="37"/>
      <c r="AA499" s="37"/>
      <c r="AB499" s="37"/>
      <c r="AC499" s="37"/>
      <c r="AD499" s="37"/>
      <c r="AE499" s="37"/>
    </row>
    <row r="500" spans="1:31" x14ac:dyDescent="0.25">
      <c r="A500" s="37"/>
      <c r="B500" s="37"/>
      <c r="C500" s="37"/>
      <c r="D500" s="37"/>
      <c r="E500" s="37"/>
      <c r="F500" s="37"/>
      <c r="G500" s="37"/>
      <c r="H500" s="37"/>
      <c r="I500" s="37"/>
      <c r="J500" s="37"/>
      <c r="K500" s="37"/>
      <c r="L500" s="37"/>
      <c r="M500" s="37"/>
      <c r="N500" s="37"/>
      <c r="O500" s="37"/>
      <c r="P500" s="37"/>
      <c r="Q500" s="37"/>
      <c r="R500" s="37"/>
      <c r="S500" s="37"/>
      <c r="T500" s="37"/>
      <c r="U500" s="37"/>
      <c r="V500" s="37"/>
      <c r="W500" s="37"/>
      <c r="X500" s="37"/>
      <c r="Y500" s="37"/>
      <c r="Z500" s="37"/>
      <c r="AA500" s="37"/>
      <c r="AB500" s="37"/>
      <c r="AC500" s="37"/>
      <c r="AD500" s="37"/>
      <c r="AE500" s="37"/>
    </row>
  </sheetData>
  <mergeCells count="2">
    <mergeCell ref="A1:O1"/>
    <mergeCell ref="Q1:AE1"/>
  </mergeCells>
  <conditionalFormatting sqref="F1:F1048576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{D9C46FAE-7E4D-4406-9246-F6004BDAA0EA}</x14:id>
        </ext>
      </extLst>
    </cfRule>
  </conditionalFormatting>
  <conditionalFormatting sqref="Z1:Z1048576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{4701B6C9-DC43-4D8C-8E7C-31577CB9FC38}</x14:id>
        </ext>
      </extLst>
    </cfRule>
  </conditionalFormatting>
  <conditionalFormatting sqref="Y9:Y53">
    <cfRule type="colorScale" priority="2">
      <colorScale>
        <cfvo type="min"/>
        <cfvo type="max"/>
        <color rgb="FFFCFCFF"/>
        <color rgb="FFF8696B"/>
      </colorScale>
    </cfRule>
  </conditionalFormatting>
  <conditionalFormatting sqref="G5:G53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9C46FAE-7E4D-4406-9246-F6004BDAA0E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F1:F1048576</xm:sqref>
        </x14:conditionalFormatting>
        <x14:conditionalFormatting xmlns:xm="http://schemas.microsoft.com/office/excel/2006/main">
          <x14:cfRule type="dataBar" id="{4701B6C9-DC43-4D8C-8E7C-31577CB9FC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205"/>
  <sheetViews>
    <sheetView workbookViewId="0">
      <selection activeCell="G21" sqref="G21"/>
    </sheetView>
  </sheetViews>
  <sheetFormatPr defaultRowHeight="15" x14ac:dyDescent="0.25"/>
  <cols>
    <col min="1" max="1" width="13.5703125" bestFit="1" customWidth="1"/>
    <col min="2" max="2" width="10.28515625" bestFit="1" customWidth="1"/>
    <col min="3" max="3" width="6.7109375" bestFit="1" customWidth="1"/>
    <col min="4" max="4" width="15.140625" bestFit="1" customWidth="1"/>
    <col min="5" max="5" width="13.28515625" customWidth="1"/>
    <col min="8" max="8" width="26.5703125" bestFit="1" customWidth="1"/>
    <col min="9" max="10" width="8" bestFit="1" customWidth="1"/>
  </cols>
  <sheetData>
    <row r="1" spans="1:10" x14ac:dyDescent="0.25">
      <c r="A1" t="s">
        <v>5</v>
      </c>
      <c r="B1" t="s">
        <v>269</v>
      </c>
      <c r="C1" t="s">
        <v>29</v>
      </c>
      <c r="D1" s="86" t="s">
        <v>245</v>
      </c>
      <c r="E1" s="86"/>
      <c r="H1" s="87" t="s">
        <v>249</v>
      </c>
      <c r="I1" s="87"/>
      <c r="J1" s="87"/>
    </row>
    <row r="2" spans="1:10" x14ac:dyDescent="0.25">
      <c r="A2" t="s">
        <v>47</v>
      </c>
      <c r="B2" s="21">
        <v>45162</v>
      </c>
      <c r="C2">
        <v>50</v>
      </c>
      <c r="D2" t="s">
        <v>270</v>
      </c>
      <c r="E2" s="30" t="s">
        <v>271</v>
      </c>
      <c r="H2" s="33"/>
      <c r="I2" s="34" t="s">
        <v>276</v>
      </c>
      <c r="J2" s="35" t="s">
        <v>277</v>
      </c>
    </row>
    <row r="3" spans="1:10" x14ac:dyDescent="0.25">
      <c r="A3" t="s">
        <v>46</v>
      </c>
      <c r="B3" s="21">
        <v>45169</v>
      </c>
      <c r="C3">
        <v>50</v>
      </c>
      <c r="D3" t="s">
        <v>246</v>
      </c>
      <c r="E3" s="31" t="s">
        <v>158</v>
      </c>
      <c r="H3" s="36" t="s">
        <v>278</v>
      </c>
      <c r="I3" s="85">
        <v>19431.900000000001</v>
      </c>
      <c r="J3" s="85"/>
    </row>
    <row r="4" spans="1:10" x14ac:dyDescent="0.25">
      <c r="A4" t="s">
        <v>158</v>
      </c>
      <c r="B4" s="21">
        <v>45176</v>
      </c>
      <c r="C4">
        <v>50</v>
      </c>
      <c r="D4" t="s">
        <v>272</v>
      </c>
      <c r="E4" s="32">
        <f>B3</f>
        <v>45169</v>
      </c>
      <c r="H4" s="36" t="s">
        <v>279</v>
      </c>
      <c r="I4" s="85">
        <v>19400</v>
      </c>
      <c r="J4" s="85"/>
    </row>
    <row r="5" spans="1:10" x14ac:dyDescent="0.25">
      <c r="A5" t="s">
        <v>48</v>
      </c>
      <c r="B5" s="21">
        <v>45183</v>
      </c>
      <c r="C5">
        <v>50</v>
      </c>
      <c r="D5" t="s">
        <v>247</v>
      </c>
      <c r="E5" s="31">
        <v>5</v>
      </c>
      <c r="H5" s="36" t="s">
        <v>280</v>
      </c>
      <c r="I5" s="36">
        <v>121.45</v>
      </c>
      <c r="J5" s="36">
        <v>88.5</v>
      </c>
    </row>
    <row r="6" spans="1:10" x14ac:dyDescent="0.25">
      <c r="A6" t="s">
        <v>30</v>
      </c>
      <c r="B6" s="21">
        <v>45190</v>
      </c>
      <c r="C6">
        <v>50</v>
      </c>
      <c r="D6" t="s">
        <v>248</v>
      </c>
      <c r="E6" s="31">
        <v>50</v>
      </c>
      <c r="H6" s="36" t="s">
        <v>281</v>
      </c>
      <c r="I6" s="85">
        <v>19450</v>
      </c>
      <c r="J6" s="85"/>
    </row>
    <row r="7" spans="1:10" x14ac:dyDescent="0.25">
      <c r="A7" t="s">
        <v>31</v>
      </c>
      <c r="B7" s="21">
        <v>45197</v>
      </c>
      <c r="C7">
        <v>50</v>
      </c>
      <c r="D7" t="s">
        <v>273</v>
      </c>
      <c r="E7" s="31" t="s">
        <v>337</v>
      </c>
      <c r="H7" s="36" t="s">
        <v>282</v>
      </c>
      <c r="I7" s="36">
        <v>95.1</v>
      </c>
      <c r="J7" s="36">
        <v>113</v>
      </c>
    </row>
    <row r="8" spans="1:10" x14ac:dyDescent="0.25">
      <c r="A8" t="s">
        <v>33</v>
      </c>
      <c r="B8" s="21">
        <v>45225</v>
      </c>
      <c r="C8">
        <v>50</v>
      </c>
      <c r="D8" t="s">
        <v>274</v>
      </c>
      <c r="E8" s="31" t="s">
        <v>275</v>
      </c>
      <c r="H8" s="36" t="s">
        <v>283</v>
      </c>
      <c r="I8" s="36">
        <v>860538</v>
      </c>
      <c r="J8" s="36">
        <v>892310</v>
      </c>
    </row>
    <row r="9" spans="1:10" x14ac:dyDescent="0.25">
      <c r="A9" t="s">
        <v>34</v>
      </c>
      <c r="B9" s="21">
        <v>45288</v>
      </c>
      <c r="C9">
        <v>50</v>
      </c>
      <c r="H9" s="36" t="s">
        <v>284</v>
      </c>
      <c r="I9" s="36">
        <v>99300</v>
      </c>
      <c r="J9" s="36">
        <v>95866</v>
      </c>
    </row>
    <row r="10" spans="1:10" x14ac:dyDescent="0.25">
      <c r="A10" t="s">
        <v>35</v>
      </c>
      <c r="B10" s="21">
        <v>45379</v>
      </c>
      <c r="C10">
        <v>50</v>
      </c>
      <c r="H10" s="36" t="s">
        <v>285</v>
      </c>
      <c r="I10" s="36">
        <v>78449</v>
      </c>
      <c r="J10" s="36">
        <v>105369</v>
      </c>
    </row>
    <row r="11" spans="1:10" x14ac:dyDescent="0.25">
      <c r="A11" t="s">
        <v>36</v>
      </c>
      <c r="B11" s="21">
        <v>45470</v>
      </c>
      <c r="C11">
        <v>50</v>
      </c>
      <c r="H11" s="36" t="s">
        <v>286</v>
      </c>
      <c r="I11" s="36">
        <v>19700</v>
      </c>
      <c r="J11" s="36">
        <v>19000</v>
      </c>
    </row>
    <row r="12" spans="1:10" x14ac:dyDescent="0.25">
      <c r="A12" t="s">
        <v>37</v>
      </c>
      <c r="B12" s="21">
        <v>45652</v>
      </c>
      <c r="C12">
        <v>50</v>
      </c>
      <c r="H12" s="36" t="s">
        <v>287</v>
      </c>
      <c r="I12" s="36">
        <v>17.649999999999999</v>
      </c>
      <c r="J12" s="36">
        <v>12.55</v>
      </c>
    </row>
    <row r="13" spans="1:10" x14ac:dyDescent="0.25">
      <c r="A13" t="s">
        <v>38</v>
      </c>
      <c r="B13" s="21">
        <v>45834</v>
      </c>
      <c r="C13">
        <v>50</v>
      </c>
      <c r="H13" s="36" t="s">
        <v>288</v>
      </c>
      <c r="I13" s="36">
        <v>18226</v>
      </c>
      <c r="J13" s="36">
        <v>24948</v>
      </c>
    </row>
    <row r="14" spans="1:10" x14ac:dyDescent="0.25">
      <c r="A14" t="s">
        <v>39</v>
      </c>
      <c r="B14" s="21">
        <v>46015</v>
      </c>
      <c r="C14">
        <v>50</v>
      </c>
      <c r="H14" s="36" t="s">
        <v>289</v>
      </c>
      <c r="I14" s="36">
        <v>19650</v>
      </c>
      <c r="J14" s="36">
        <v>19400</v>
      </c>
    </row>
    <row r="15" spans="1:10" x14ac:dyDescent="0.25">
      <c r="A15" t="s">
        <v>40</v>
      </c>
      <c r="B15" s="21">
        <v>46198</v>
      </c>
      <c r="C15">
        <v>50</v>
      </c>
      <c r="H15" s="36" t="s">
        <v>290</v>
      </c>
      <c r="I15" s="36">
        <v>25.6</v>
      </c>
      <c r="J15" s="36">
        <v>88.5</v>
      </c>
    </row>
    <row r="16" spans="1:10" x14ac:dyDescent="0.25">
      <c r="A16" t="s">
        <v>41</v>
      </c>
      <c r="B16" s="21">
        <v>46387</v>
      </c>
      <c r="C16">
        <v>50</v>
      </c>
      <c r="H16" s="36" t="s">
        <v>291</v>
      </c>
      <c r="I16" s="36">
        <v>3653</v>
      </c>
      <c r="J16" s="36">
        <v>1678</v>
      </c>
    </row>
    <row r="17" spans="1:10" x14ac:dyDescent="0.25">
      <c r="A17" t="s">
        <v>42</v>
      </c>
      <c r="B17" s="21">
        <v>46562</v>
      </c>
      <c r="C17">
        <v>50</v>
      </c>
      <c r="H17" s="36" t="s">
        <v>292</v>
      </c>
      <c r="I17" s="36">
        <v>19300</v>
      </c>
      <c r="J17" s="36">
        <v>18700</v>
      </c>
    </row>
    <row r="18" spans="1:10" x14ac:dyDescent="0.25">
      <c r="A18" t="s">
        <v>43</v>
      </c>
      <c r="B18" s="21">
        <v>46751</v>
      </c>
      <c r="C18">
        <v>50</v>
      </c>
      <c r="H18" s="36" t="s">
        <v>293</v>
      </c>
      <c r="I18" s="36">
        <v>186</v>
      </c>
      <c r="J18" s="36">
        <v>5.25</v>
      </c>
    </row>
    <row r="19" spans="1:10" x14ac:dyDescent="0.25">
      <c r="A19" t="s">
        <v>44</v>
      </c>
      <c r="B19" s="21">
        <v>46933</v>
      </c>
      <c r="C19">
        <v>50</v>
      </c>
    </row>
    <row r="20" spans="1:10" x14ac:dyDescent="0.25">
      <c r="A20" t="s">
        <v>45</v>
      </c>
      <c r="B20" s="21"/>
    </row>
    <row r="21" spans="1:10" x14ac:dyDescent="0.25">
      <c r="A21" t="s">
        <v>50</v>
      </c>
      <c r="B21" s="21"/>
    </row>
    <row r="22" spans="1:10" x14ac:dyDescent="0.25">
      <c r="A22" t="s">
        <v>51</v>
      </c>
      <c r="B22" s="21"/>
    </row>
    <row r="23" spans="1:10" x14ac:dyDescent="0.25">
      <c r="A23" t="s">
        <v>52</v>
      </c>
      <c r="B23" s="21"/>
    </row>
    <row r="24" spans="1:10" x14ac:dyDescent="0.25">
      <c r="A24" t="s">
        <v>53</v>
      </c>
      <c r="B24" s="21"/>
    </row>
    <row r="25" spans="1:10" x14ac:dyDescent="0.25">
      <c r="A25" t="s">
        <v>54</v>
      </c>
      <c r="B25" s="21"/>
    </row>
    <row r="26" spans="1:10" x14ac:dyDescent="0.25">
      <c r="A26" t="s">
        <v>55</v>
      </c>
    </row>
    <row r="27" spans="1:10" x14ac:dyDescent="0.25">
      <c r="A27" t="s">
        <v>56</v>
      </c>
    </row>
    <row r="28" spans="1:10" x14ac:dyDescent="0.25">
      <c r="A28" t="s">
        <v>57</v>
      </c>
    </row>
    <row r="29" spans="1:10" x14ac:dyDescent="0.25">
      <c r="A29" t="s">
        <v>58</v>
      </c>
    </row>
    <row r="30" spans="1:10" x14ac:dyDescent="0.25">
      <c r="A30" t="s">
        <v>59</v>
      </c>
    </row>
    <row r="31" spans="1:10" x14ac:dyDescent="0.25">
      <c r="A31" t="s">
        <v>60</v>
      </c>
    </row>
    <row r="32" spans="1:10" x14ac:dyDescent="0.25">
      <c r="A32" t="s">
        <v>61</v>
      </c>
    </row>
    <row r="33" spans="1:1" x14ac:dyDescent="0.25">
      <c r="A33" t="s">
        <v>62</v>
      </c>
    </row>
    <row r="34" spans="1:1" x14ac:dyDescent="0.25">
      <c r="A34" t="s">
        <v>63</v>
      </c>
    </row>
    <row r="35" spans="1:1" x14ac:dyDescent="0.25">
      <c r="A35" t="s">
        <v>64</v>
      </c>
    </row>
    <row r="36" spans="1:1" x14ac:dyDescent="0.25">
      <c r="A36" t="s">
        <v>65</v>
      </c>
    </row>
    <row r="37" spans="1:1" x14ac:dyDescent="0.25">
      <c r="A37" t="s">
        <v>66</v>
      </c>
    </row>
    <row r="38" spans="1:1" x14ac:dyDescent="0.25">
      <c r="A38" t="s">
        <v>67</v>
      </c>
    </row>
    <row r="39" spans="1:1" x14ac:dyDescent="0.25">
      <c r="A39" t="s">
        <v>68</v>
      </c>
    </row>
    <row r="40" spans="1:1" x14ac:dyDescent="0.25">
      <c r="A40" t="s">
        <v>69</v>
      </c>
    </row>
    <row r="41" spans="1:1" x14ac:dyDescent="0.25">
      <c r="A41" t="s">
        <v>70</v>
      </c>
    </row>
    <row r="42" spans="1:1" x14ac:dyDescent="0.25">
      <c r="A42" t="s">
        <v>71</v>
      </c>
    </row>
    <row r="43" spans="1:1" x14ac:dyDescent="0.25">
      <c r="A43" t="s">
        <v>72</v>
      </c>
    </row>
    <row r="44" spans="1:1" x14ac:dyDescent="0.25">
      <c r="A44" t="s">
        <v>73</v>
      </c>
    </row>
    <row r="45" spans="1:1" x14ac:dyDescent="0.25">
      <c r="A45" t="s">
        <v>74</v>
      </c>
    </row>
    <row r="46" spans="1:1" x14ac:dyDescent="0.25">
      <c r="A46" t="s">
        <v>75</v>
      </c>
    </row>
    <row r="47" spans="1:1" x14ac:dyDescent="0.25">
      <c r="A47" t="s">
        <v>76</v>
      </c>
    </row>
    <row r="48" spans="1:1" x14ac:dyDescent="0.25">
      <c r="A48" t="s">
        <v>77</v>
      </c>
    </row>
    <row r="49" spans="1:1" x14ac:dyDescent="0.25">
      <c r="A49" t="s">
        <v>78</v>
      </c>
    </row>
    <row r="50" spans="1:1" x14ac:dyDescent="0.25">
      <c r="A50" t="s">
        <v>79</v>
      </c>
    </row>
    <row r="51" spans="1:1" x14ac:dyDescent="0.25">
      <c r="A51" t="s">
        <v>80</v>
      </c>
    </row>
    <row r="52" spans="1:1" x14ac:dyDescent="0.25">
      <c r="A52" t="s">
        <v>81</v>
      </c>
    </row>
    <row r="53" spans="1:1" x14ac:dyDescent="0.25">
      <c r="A53" t="s">
        <v>82</v>
      </c>
    </row>
    <row r="54" spans="1:1" x14ac:dyDescent="0.25">
      <c r="A54" t="s">
        <v>83</v>
      </c>
    </row>
    <row r="55" spans="1:1" x14ac:dyDescent="0.25">
      <c r="A55" t="s">
        <v>84</v>
      </c>
    </row>
    <row r="56" spans="1:1" x14ac:dyDescent="0.25">
      <c r="A56" t="s">
        <v>85</v>
      </c>
    </row>
    <row r="57" spans="1:1" x14ac:dyDescent="0.25">
      <c r="A57" t="s">
        <v>86</v>
      </c>
    </row>
    <row r="58" spans="1:1" x14ac:dyDescent="0.25">
      <c r="A58" t="s">
        <v>87</v>
      </c>
    </row>
    <row r="59" spans="1:1" x14ac:dyDescent="0.25">
      <c r="A59" t="s">
        <v>88</v>
      </c>
    </row>
    <row r="60" spans="1:1" x14ac:dyDescent="0.25">
      <c r="A60" t="s">
        <v>89</v>
      </c>
    </row>
    <row r="61" spans="1:1" x14ac:dyDescent="0.25">
      <c r="A61" t="s">
        <v>90</v>
      </c>
    </row>
    <row r="62" spans="1:1" x14ac:dyDescent="0.25">
      <c r="A62" t="s">
        <v>91</v>
      </c>
    </row>
    <row r="63" spans="1:1" x14ac:dyDescent="0.25">
      <c r="A63" t="s">
        <v>92</v>
      </c>
    </row>
    <row r="64" spans="1:1" x14ac:dyDescent="0.25">
      <c r="A64" t="s">
        <v>93</v>
      </c>
    </row>
    <row r="65" spans="1:1" x14ac:dyDescent="0.25">
      <c r="A65" t="s">
        <v>94</v>
      </c>
    </row>
    <row r="66" spans="1:1" x14ac:dyDescent="0.25">
      <c r="A66" t="s">
        <v>95</v>
      </c>
    </row>
    <row r="67" spans="1:1" x14ac:dyDescent="0.25">
      <c r="A67" t="s">
        <v>96</v>
      </c>
    </row>
    <row r="68" spans="1:1" x14ac:dyDescent="0.25">
      <c r="A68" t="s">
        <v>97</v>
      </c>
    </row>
    <row r="69" spans="1:1" x14ac:dyDescent="0.25">
      <c r="A69" t="s">
        <v>98</v>
      </c>
    </row>
    <row r="70" spans="1:1" x14ac:dyDescent="0.25">
      <c r="A70" t="s">
        <v>99</v>
      </c>
    </row>
    <row r="71" spans="1:1" x14ac:dyDescent="0.25">
      <c r="A71" t="s">
        <v>100</v>
      </c>
    </row>
    <row r="72" spans="1:1" x14ac:dyDescent="0.25">
      <c r="A72" t="s">
        <v>101</v>
      </c>
    </row>
    <row r="73" spans="1:1" x14ac:dyDescent="0.25">
      <c r="A73" t="s">
        <v>102</v>
      </c>
    </row>
    <row r="74" spans="1:1" x14ac:dyDescent="0.25">
      <c r="A74" t="s">
        <v>103</v>
      </c>
    </row>
    <row r="75" spans="1:1" x14ac:dyDescent="0.25">
      <c r="A75" t="s">
        <v>104</v>
      </c>
    </row>
    <row r="76" spans="1:1" x14ac:dyDescent="0.25">
      <c r="A76" t="s">
        <v>105</v>
      </c>
    </row>
    <row r="77" spans="1:1" x14ac:dyDescent="0.25">
      <c r="A77" t="s">
        <v>106</v>
      </c>
    </row>
    <row r="78" spans="1:1" x14ac:dyDescent="0.25">
      <c r="A78" t="s">
        <v>107</v>
      </c>
    </row>
    <row r="79" spans="1:1" x14ac:dyDescent="0.25">
      <c r="A79" t="s">
        <v>108</v>
      </c>
    </row>
    <row r="80" spans="1:1" x14ac:dyDescent="0.25">
      <c r="A80" t="s">
        <v>109</v>
      </c>
    </row>
    <row r="81" spans="1:1" x14ac:dyDescent="0.25">
      <c r="A81" t="s">
        <v>110</v>
      </c>
    </row>
    <row r="82" spans="1:1" x14ac:dyDescent="0.25">
      <c r="A82" t="s">
        <v>111</v>
      </c>
    </row>
    <row r="83" spans="1:1" x14ac:dyDescent="0.25">
      <c r="A83" t="s">
        <v>112</v>
      </c>
    </row>
    <row r="84" spans="1:1" x14ac:dyDescent="0.25">
      <c r="A84" t="s">
        <v>113</v>
      </c>
    </row>
    <row r="85" spans="1:1" x14ac:dyDescent="0.25">
      <c r="A85" t="s">
        <v>114</v>
      </c>
    </row>
    <row r="86" spans="1:1" x14ac:dyDescent="0.25">
      <c r="A86" t="s">
        <v>115</v>
      </c>
    </row>
    <row r="87" spans="1:1" x14ac:dyDescent="0.25">
      <c r="A87" t="s">
        <v>116</v>
      </c>
    </row>
    <row r="88" spans="1:1" x14ac:dyDescent="0.25">
      <c r="A88" t="s">
        <v>117</v>
      </c>
    </row>
    <row r="89" spans="1:1" x14ac:dyDescent="0.25">
      <c r="A89" t="s">
        <v>118</v>
      </c>
    </row>
    <row r="90" spans="1:1" x14ac:dyDescent="0.25">
      <c r="A90" t="s">
        <v>119</v>
      </c>
    </row>
    <row r="91" spans="1:1" x14ac:dyDescent="0.25">
      <c r="A91" t="s">
        <v>120</v>
      </c>
    </row>
    <row r="92" spans="1:1" x14ac:dyDescent="0.25">
      <c r="A92" t="s">
        <v>121</v>
      </c>
    </row>
    <row r="93" spans="1:1" x14ac:dyDescent="0.25">
      <c r="A93" t="s">
        <v>122</v>
      </c>
    </row>
    <row r="94" spans="1:1" x14ac:dyDescent="0.25">
      <c r="A94" t="s">
        <v>123</v>
      </c>
    </row>
    <row r="95" spans="1:1" x14ac:dyDescent="0.25">
      <c r="A95" t="s">
        <v>124</v>
      </c>
    </row>
    <row r="96" spans="1:1" x14ac:dyDescent="0.25">
      <c r="A96" t="s">
        <v>125</v>
      </c>
    </row>
    <row r="97" spans="1:1" x14ac:dyDescent="0.25">
      <c r="A97" t="s">
        <v>126</v>
      </c>
    </row>
    <row r="98" spans="1:1" x14ac:dyDescent="0.25">
      <c r="A98" t="s">
        <v>127</v>
      </c>
    </row>
    <row r="99" spans="1:1" x14ac:dyDescent="0.25">
      <c r="A99" t="s">
        <v>128</v>
      </c>
    </row>
    <row r="100" spans="1:1" x14ac:dyDescent="0.25">
      <c r="A100" t="s">
        <v>129</v>
      </c>
    </row>
    <row r="101" spans="1:1" x14ac:dyDescent="0.25">
      <c r="A101" t="s">
        <v>130</v>
      </c>
    </row>
    <row r="102" spans="1:1" x14ac:dyDescent="0.25">
      <c r="A102" t="s">
        <v>131</v>
      </c>
    </row>
    <row r="103" spans="1:1" x14ac:dyDescent="0.25">
      <c r="A103" t="s">
        <v>132</v>
      </c>
    </row>
    <row r="104" spans="1:1" x14ac:dyDescent="0.25">
      <c r="A104" t="s">
        <v>133</v>
      </c>
    </row>
    <row r="105" spans="1:1" x14ac:dyDescent="0.25">
      <c r="A105" t="s">
        <v>134</v>
      </c>
    </row>
    <row r="106" spans="1:1" x14ac:dyDescent="0.25">
      <c r="A106" t="s">
        <v>135</v>
      </c>
    </row>
    <row r="107" spans="1:1" x14ac:dyDescent="0.25">
      <c r="A107" t="s">
        <v>32</v>
      </c>
    </row>
    <row r="108" spans="1:1" x14ac:dyDescent="0.25">
      <c r="A108" t="s">
        <v>136</v>
      </c>
    </row>
    <row r="109" spans="1:1" x14ac:dyDescent="0.25">
      <c r="A109" t="s">
        <v>137</v>
      </c>
    </row>
    <row r="110" spans="1:1" x14ac:dyDescent="0.25">
      <c r="A110" t="s">
        <v>138</v>
      </c>
    </row>
    <row r="111" spans="1:1" x14ac:dyDescent="0.25">
      <c r="A111" t="s">
        <v>139</v>
      </c>
    </row>
    <row r="112" spans="1:1" x14ac:dyDescent="0.25">
      <c r="A112" t="s">
        <v>140</v>
      </c>
    </row>
    <row r="113" spans="1:1" x14ac:dyDescent="0.25">
      <c r="A113" t="s">
        <v>141</v>
      </c>
    </row>
    <row r="114" spans="1:1" x14ac:dyDescent="0.25">
      <c r="A114" t="s">
        <v>142</v>
      </c>
    </row>
    <row r="115" spans="1:1" x14ac:dyDescent="0.25">
      <c r="A115" t="s">
        <v>143</v>
      </c>
    </row>
    <row r="116" spans="1:1" x14ac:dyDescent="0.25">
      <c r="A116" t="s">
        <v>144</v>
      </c>
    </row>
    <row r="117" spans="1:1" x14ac:dyDescent="0.25">
      <c r="A117" t="s">
        <v>145</v>
      </c>
    </row>
    <row r="118" spans="1:1" x14ac:dyDescent="0.25">
      <c r="A118" t="s">
        <v>261</v>
      </c>
    </row>
    <row r="119" spans="1:1" x14ac:dyDescent="0.25">
      <c r="A119" t="s">
        <v>146</v>
      </c>
    </row>
    <row r="120" spans="1:1" x14ac:dyDescent="0.25">
      <c r="A120" t="s">
        <v>147</v>
      </c>
    </row>
    <row r="121" spans="1:1" x14ac:dyDescent="0.25">
      <c r="A121" t="s">
        <v>148</v>
      </c>
    </row>
    <row r="122" spans="1:1" x14ac:dyDescent="0.25">
      <c r="A122" t="s">
        <v>149</v>
      </c>
    </row>
    <row r="123" spans="1:1" x14ac:dyDescent="0.25">
      <c r="A123" t="s">
        <v>150</v>
      </c>
    </row>
    <row r="124" spans="1:1" x14ac:dyDescent="0.25">
      <c r="A124" t="s">
        <v>151</v>
      </c>
    </row>
    <row r="125" spans="1:1" x14ac:dyDescent="0.25">
      <c r="A125" t="s">
        <v>152</v>
      </c>
    </row>
    <row r="126" spans="1:1" x14ac:dyDescent="0.25">
      <c r="A126" t="s">
        <v>153</v>
      </c>
    </row>
    <row r="127" spans="1:1" x14ac:dyDescent="0.25">
      <c r="A127" t="s">
        <v>154</v>
      </c>
    </row>
    <row r="128" spans="1:1" x14ac:dyDescent="0.25">
      <c r="A128" t="s">
        <v>155</v>
      </c>
    </row>
    <row r="129" spans="1:1" x14ac:dyDescent="0.25">
      <c r="A129" t="s">
        <v>156</v>
      </c>
    </row>
    <row r="130" spans="1:1" x14ac:dyDescent="0.25">
      <c r="A130" t="s">
        <v>157</v>
      </c>
    </row>
    <row r="131" spans="1:1" x14ac:dyDescent="0.25">
      <c r="A131" t="s">
        <v>159</v>
      </c>
    </row>
    <row r="132" spans="1:1" x14ac:dyDescent="0.25">
      <c r="A132" t="s">
        <v>160</v>
      </c>
    </row>
    <row r="133" spans="1:1" x14ac:dyDescent="0.25">
      <c r="A133" t="s">
        <v>161</v>
      </c>
    </row>
    <row r="134" spans="1:1" x14ac:dyDescent="0.25">
      <c r="A134" t="s">
        <v>162</v>
      </c>
    </row>
    <row r="135" spans="1:1" x14ac:dyDescent="0.25">
      <c r="A135" t="s">
        <v>163</v>
      </c>
    </row>
    <row r="136" spans="1:1" x14ac:dyDescent="0.25">
      <c r="A136" t="s">
        <v>164</v>
      </c>
    </row>
    <row r="137" spans="1:1" x14ac:dyDescent="0.25">
      <c r="A137" t="s">
        <v>165</v>
      </c>
    </row>
    <row r="138" spans="1:1" x14ac:dyDescent="0.25">
      <c r="A138" t="s">
        <v>166</v>
      </c>
    </row>
    <row r="139" spans="1:1" x14ac:dyDescent="0.25">
      <c r="A139" t="s">
        <v>167</v>
      </c>
    </row>
    <row r="140" spans="1:1" x14ac:dyDescent="0.25">
      <c r="A140" t="s">
        <v>168</v>
      </c>
    </row>
    <row r="141" spans="1:1" x14ac:dyDescent="0.25">
      <c r="A141" t="s">
        <v>169</v>
      </c>
    </row>
    <row r="142" spans="1:1" x14ac:dyDescent="0.25">
      <c r="A142" t="s">
        <v>170</v>
      </c>
    </row>
    <row r="143" spans="1:1" x14ac:dyDescent="0.25">
      <c r="A143" t="s">
        <v>171</v>
      </c>
    </row>
    <row r="144" spans="1:1" x14ac:dyDescent="0.25">
      <c r="A144" t="s">
        <v>172</v>
      </c>
    </row>
    <row r="145" spans="1:1" x14ac:dyDescent="0.25">
      <c r="A145" t="s">
        <v>173</v>
      </c>
    </row>
    <row r="146" spans="1:1" x14ac:dyDescent="0.25">
      <c r="A146" t="s">
        <v>174</v>
      </c>
    </row>
    <row r="147" spans="1:1" x14ac:dyDescent="0.25">
      <c r="A147" t="s">
        <v>175</v>
      </c>
    </row>
    <row r="148" spans="1:1" x14ac:dyDescent="0.25">
      <c r="A148" t="s">
        <v>176</v>
      </c>
    </row>
    <row r="149" spans="1:1" x14ac:dyDescent="0.25">
      <c r="A149" t="s">
        <v>177</v>
      </c>
    </row>
    <row r="150" spans="1:1" x14ac:dyDescent="0.25">
      <c r="A150" t="s">
        <v>178</v>
      </c>
    </row>
    <row r="151" spans="1:1" x14ac:dyDescent="0.25">
      <c r="A151" t="s">
        <v>179</v>
      </c>
    </row>
    <row r="152" spans="1:1" x14ac:dyDescent="0.25">
      <c r="A152" t="s">
        <v>180</v>
      </c>
    </row>
    <row r="153" spans="1:1" x14ac:dyDescent="0.25">
      <c r="A153" t="s">
        <v>181</v>
      </c>
    </row>
    <row r="154" spans="1:1" x14ac:dyDescent="0.25">
      <c r="A154" t="s">
        <v>314</v>
      </c>
    </row>
    <row r="155" spans="1:1" x14ac:dyDescent="0.25">
      <c r="A155" t="s">
        <v>182</v>
      </c>
    </row>
    <row r="156" spans="1:1" x14ac:dyDescent="0.25">
      <c r="A156" t="s">
        <v>183</v>
      </c>
    </row>
    <row r="157" spans="1:1" x14ac:dyDescent="0.25">
      <c r="A157" t="s">
        <v>184</v>
      </c>
    </row>
    <row r="158" spans="1:1" x14ac:dyDescent="0.25">
      <c r="A158" t="s">
        <v>185</v>
      </c>
    </row>
    <row r="159" spans="1:1" x14ac:dyDescent="0.25">
      <c r="A159" t="s">
        <v>186</v>
      </c>
    </row>
    <row r="160" spans="1:1" x14ac:dyDescent="0.25">
      <c r="A160" t="s">
        <v>187</v>
      </c>
    </row>
    <row r="161" spans="1:1" x14ac:dyDescent="0.25">
      <c r="A161" t="s">
        <v>188</v>
      </c>
    </row>
    <row r="162" spans="1:1" x14ac:dyDescent="0.25">
      <c r="A162" t="s">
        <v>189</v>
      </c>
    </row>
    <row r="163" spans="1:1" x14ac:dyDescent="0.25">
      <c r="A163" t="s">
        <v>190</v>
      </c>
    </row>
    <row r="164" spans="1:1" x14ac:dyDescent="0.25">
      <c r="A164" t="s">
        <v>262</v>
      </c>
    </row>
    <row r="165" spans="1:1" x14ac:dyDescent="0.25">
      <c r="A165" t="s">
        <v>191</v>
      </c>
    </row>
    <row r="166" spans="1:1" x14ac:dyDescent="0.25">
      <c r="A166" t="s">
        <v>192</v>
      </c>
    </row>
    <row r="167" spans="1:1" x14ac:dyDescent="0.25">
      <c r="A167" t="s">
        <v>193</v>
      </c>
    </row>
    <row r="168" spans="1:1" x14ac:dyDescent="0.25">
      <c r="A168" t="s">
        <v>194</v>
      </c>
    </row>
    <row r="169" spans="1:1" x14ac:dyDescent="0.25">
      <c r="A169" t="s">
        <v>195</v>
      </c>
    </row>
    <row r="170" spans="1:1" x14ac:dyDescent="0.25">
      <c r="A170" t="s">
        <v>196</v>
      </c>
    </row>
    <row r="171" spans="1:1" x14ac:dyDescent="0.25">
      <c r="A171" t="s">
        <v>197</v>
      </c>
    </row>
    <row r="172" spans="1:1" x14ac:dyDescent="0.25">
      <c r="A172" t="s">
        <v>198</v>
      </c>
    </row>
    <row r="173" spans="1:1" x14ac:dyDescent="0.25">
      <c r="A173" t="s">
        <v>199</v>
      </c>
    </row>
    <row r="174" spans="1:1" x14ac:dyDescent="0.25">
      <c r="A174" t="s">
        <v>200</v>
      </c>
    </row>
    <row r="175" spans="1:1" x14ac:dyDescent="0.25">
      <c r="A175" t="s">
        <v>201</v>
      </c>
    </row>
    <row r="176" spans="1:1" x14ac:dyDescent="0.25">
      <c r="A176" t="s">
        <v>202</v>
      </c>
    </row>
    <row r="177" spans="1:1" x14ac:dyDescent="0.25">
      <c r="A177" t="s">
        <v>203</v>
      </c>
    </row>
    <row r="178" spans="1:1" x14ac:dyDescent="0.25">
      <c r="A178" t="s">
        <v>204</v>
      </c>
    </row>
    <row r="179" spans="1:1" x14ac:dyDescent="0.25">
      <c r="A179" t="s">
        <v>205</v>
      </c>
    </row>
    <row r="180" spans="1:1" x14ac:dyDescent="0.25">
      <c r="A180" t="s">
        <v>206</v>
      </c>
    </row>
    <row r="181" spans="1:1" x14ac:dyDescent="0.25">
      <c r="A181" t="s">
        <v>207</v>
      </c>
    </row>
    <row r="182" spans="1:1" x14ac:dyDescent="0.25">
      <c r="A182" t="s">
        <v>208</v>
      </c>
    </row>
    <row r="183" spans="1:1" x14ac:dyDescent="0.25">
      <c r="A183" t="s">
        <v>209</v>
      </c>
    </row>
    <row r="184" spans="1:1" x14ac:dyDescent="0.25">
      <c r="A184" t="s">
        <v>210</v>
      </c>
    </row>
    <row r="185" spans="1:1" x14ac:dyDescent="0.25">
      <c r="A185" t="s">
        <v>211</v>
      </c>
    </row>
    <row r="186" spans="1:1" x14ac:dyDescent="0.25">
      <c r="A186" t="s">
        <v>212</v>
      </c>
    </row>
    <row r="187" spans="1:1" x14ac:dyDescent="0.25">
      <c r="A187" t="s">
        <v>213</v>
      </c>
    </row>
    <row r="188" spans="1:1" x14ac:dyDescent="0.25">
      <c r="A188" t="s">
        <v>214</v>
      </c>
    </row>
    <row r="189" spans="1:1" x14ac:dyDescent="0.25">
      <c r="A189" t="s">
        <v>215</v>
      </c>
    </row>
    <row r="190" spans="1:1" x14ac:dyDescent="0.25">
      <c r="A190" t="s">
        <v>315</v>
      </c>
    </row>
    <row r="191" spans="1:1" x14ac:dyDescent="0.25">
      <c r="A191" t="s">
        <v>316</v>
      </c>
    </row>
    <row r="192" spans="1:1" x14ac:dyDescent="0.25">
      <c r="A192" t="s">
        <v>317</v>
      </c>
    </row>
    <row r="193" spans="1:1" x14ac:dyDescent="0.25">
      <c r="A193" t="s">
        <v>318</v>
      </c>
    </row>
    <row r="194" spans="1:1" x14ac:dyDescent="0.25">
      <c r="A194" t="s">
        <v>319</v>
      </c>
    </row>
    <row r="195" spans="1:1" x14ac:dyDescent="0.25">
      <c r="A195" t="s">
        <v>320</v>
      </c>
    </row>
    <row r="196" spans="1:1" x14ac:dyDescent="0.25">
      <c r="A196" t="s">
        <v>321</v>
      </c>
    </row>
    <row r="197" spans="1:1" x14ac:dyDescent="0.25">
      <c r="A197" t="s">
        <v>322</v>
      </c>
    </row>
    <row r="198" spans="1:1" x14ac:dyDescent="0.25">
      <c r="A198" t="s">
        <v>323</v>
      </c>
    </row>
    <row r="199" spans="1:1" x14ac:dyDescent="0.25">
      <c r="A199" t="s">
        <v>324</v>
      </c>
    </row>
    <row r="200" spans="1:1" x14ac:dyDescent="0.25">
      <c r="A200" t="s">
        <v>325</v>
      </c>
    </row>
    <row r="201" spans="1:1" x14ac:dyDescent="0.25">
      <c r="A201" t="s">
        <v>326</v>
      </c>
    </row>
    <row r="202" spans="1:1" x14ac:dyDescent="0.25">
      <c r="A202" t="s">
        <v>327</v>
      </c>
    </row>
    <row r="203" spans="1:1" x14ac:dyDescent="0.25">
      <c r="A203" t="s">
        <v>328</v>
      </c>
    </row>
    <row r="204" spans="1:1" x14ac:dyDescent="0.25">
      <c r="A204" t="s">
        <v>329</v>
      </c>
    </row>
    <row r="205" spans="1:1" x14ac:dyDescent="0.25">
      <c r="A205" t="s">
        <v>330</v>
      </c>
    </row>
  </sheetData>
  <autoFilter ref="A1:E205" xr:uid="{00000000-0001-0000-0800-000000000000}">
    <filterColumn colId="3" showButton="0"/>
  </autoFilter>
  <mergeCells count="5">
    <mergeCell ref="D1:E1"/>
    <mergeCell ref="H1:J1"/>
    <mergeCell ref="I3:J3"/>
    <mergeCell ref="I4:J4"/>
    <mergeCell ref="I6:J6"/>
  </mergeCells>
  <dataValidations count="3">
    <dataValidation type="list" allowBlank="1" showInputMessage="1" showErrorMessage="1" sqref="E8" xr:uid="{00000000-0002-0000-0800-000000000000}">
      <formula1>"NSE,SENSIBULL"</formula1>
    </dataValidation>
    <dataValidation type="list" allowBlank="1" showInputMessage="1" showErrorMessage="1" sqref="E7" xr:uid="{00000000-0002-0000-0800-000001000000}">
      <formula1>"MONTHLY,WEEKLY"</formula1>
    </dataValidation>
    <dataValidation type="list" allowBlank="1" showInputMessage="1" showErrorMessage="1" sqref="E2" xr:uid="{00000000-0002-0000-0800-000002000000}">
      <formula1>"NFO-OPT,CDS-OPT,MCX-OPT"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E500"/>
  <sheetViews>
    <sheetView workbookViewId="0">
      <selection activeCell="Q28" sqref="Q28"/>
    </sheetView>
  </sheetViews>
  <sheetFormatPr defaultRowHeight="15" x14ac:dyDescent="0.25"/>
  <sheetData>
    <row r="1" spans="1:31" ht="30.75" thickBot="1" x14ac:dyDescent="0.3">
      <c r="A1" s="88" t="s">
        <v>250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25" t="s">
        <v>263</v>
      </c>
      <c r="Q1" s="88" t="s">
        <v>251</v>
      </c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88"/>
      <c r="AD1" s="88"/>
      <c r="AE1" s="88"/>
    </row>
    <row r="2" spans="1:31" x14ac:dyDescent="0.25">
      <c r="A2" s="24" t="s">
        <v>252</v>
      </c>
      <c r="B2" s="24" t="s">
        <v>264</v>
      </c>
      <c r="C2" s="24" t="s">
        <v>265</v>
      </c>
      <c r="D2" s="24" t="s">
        <v>266</v>
      </c>
      <c r="E2" s="24" t="s">
        <v>267</v>
      </c>
      <c r="F2" s="24" t="s">
        <v>49</v>
      </c>
      <c r="G2" s="22" t="s">
        <v>253</v>
      </c>
      <c r="H2" s="22" t="s">
        <v>254</v>
      </c>
      <c r="I2" s="22" t="s">
        <v>255</v>
      </c>
      <c r="J2" s="22" t="s">
        <v>14</v>
      </c>
      <c r="K2" s="22" t="s">
        <v>256</v>
      </c>
      <c r="L2" s="22" t="s">
        <v>257</v>
      </c>
      <c r="M2" s="22" t="s">
        <v>258</v>
      </c>
      <c r="N2" s="22" t="s">
        <v>259</v>
      </c>
      <c r="O2" s="22" t="s">
        <v>260</v>
      </c>
      <c r="P2" s="22" t="s">
        <v>268</v>
      </c>
      <c r="Q2" s="22" t="s">
        <v>257</v>
      </c>
      <c r="R2" s="22" t="s">
        <v>258</v>
      </c>
      <c r="S2" s="22" t="s">
        <v>259</v>
      </c>
      <c r="T2" s="22" t="s">
        <v>260</v>
      </c>
      <c r="U2" s="22" t="s">
        <v>256</v>
      </c>
      <c r="V2" s="22" t="s">
        <v>14</v>
      </c>
      <c r="W2" s="22" t="s">
        <v>255</v>
      </c>
      <c r="X2" s="22" t="s">
        <v>254</v>
      </c>
      <c r="Y2" s="26" t="s">
        <v>253</v>
      </c>
      <c r="Z2" s="27" t="s">
        <v>49</v>
      </c>
      <c r="AA2" s="27" t="s">
        <v>267</v>
      </c>
      <c r="AB2" s="27" t="s">
        <v>266</v>
      </c>
      <c r="AC2" s="27" t="s">
        <v>265</v>
      </c>
      <c r="AD2" s="27" t="s">
        <v>264</v>
      </c>
      <c r="AE2" s="24" t="s">
        <v>252</v>
      </c>
    </row>
    <row r="3" spans="1:31" x14ac:dyDescent="0.25">
      <c r="A3" s="28">
        <v>0.82</v>
      </c>
      <c r="B3" s="28">
        <v>8.0000000000000004E-4</v>
      </c>
      <c r="C3" s="28">
        <v>-4.63</v>
      </c>
      <c r="D3" s="28">
        <v>7.44</v>
      </c>
      <c r="E3" s="28">
        <v>0.39700000000000002</v>
      </c>
      <c r="F3" s="28">
        <v>7966</v>
      </c>
      <c r="G3" s="28">
        <v>-932</v>
      </c>
      <c r="H3" s="28">
        <v>39438</v>
      </c>
      <c r="I3" s="28">
        <v>11.44</v>
      </c>
      <c r="J3" s="28">
        <v>265</v>
      </c>
      <c r="K3" s="28">
        <v>13.44</v>
      </c>
      <c r="L3" s="28" t="s">
        <v>22</v>
      </c>
      <c r="M3" s="28">
        <v>264</v>
      </c>
      <c r="N3" s="28">
        <v>264.45</v>
      </c>
      <c r="O3" s="28" t="s">
        <v>22</v>
      </c>
      <c r="P3" s="29">
        <v>19200</v>
      </c>
      <c r="Q3" s="28" t="s">
        <v>22</v>
      </c>
      <c r="R3" s="28">
        <v>32.35</v>
      </c>
      <c r="S3" s="28">
        <v>33</v>
      </c>
      <c r="T3" s="28" t="s">
        <v>22</v>
      </c>
      <c r="U3" s="28">
        <v>-32.11</v>
      </c>
      <c r="V3" s="28">
        <v>32.35</v>
      </c>
      <c r="W3" s="28">
        <v>11.44</v>
      </c>
      <c r="X3" s="28">
        <v>182703</v>
      </c>
      <c r="Y3" s="28">
        <v>12519</v>
      </c>
      <c r="Z3" s="28">
        <v>58673</v>
      </c>
      <c r="AA3" s="28">
        <v>-7.4999999999999997E-2</v>
      </c>
      <c r="AB3" s="28">
        <v>7.44</v>
      </c>
      <c r="AC3" s="28">
        <v>-4.63</v>
      </c>
      <c r="AD3" s="28">
        <v>8.0000000000000004E-4</v>
      </c>
      <c r="AE3" s="28">
        <v>-0.18</v>
      </c>
    </row>
    <row r="4" spans="1:31" x14ac:dyDescent="0.25">
      <c r="A4" s="28">
        <v>0.77</v>
      </c>
      <c r="B4" s="28">
        <v>8.9999999999999998E-4</v>
      </c>
      <c r="C4" s="28">
        <v>-5.14</v>
      </c>
      <c r="D4" s="28">
        <v>8.4600000000000009</v>
      </c>
      <c r="E4" s="28">
        <v>0.39800000000000002</v>
      </c>
      <c r="F4" s="28">
        <v>2671</v>
      </c>
      <c r="G4" s="28">
        <v>-250</v>
      </c>
      <c r="H4" s="28">
        <v>11110</v>
      </c>
      <c r="I4" s="28">
        <v>11.39</v>
      </c>
      <c r="J4" s="28">
        <v>225.35</v>
      </c>
      <c r="K4" s="28">
        <v>14.45</v>
      </c>
      <c r="L4" s="28" t="s">
        <v>22</v>
      </c>
      <c r="M4" s="28">
        <v>222.9</v>
      </c>
      <c r="N4" s="28">
        <v>226.5</v>
      </c>
      <c r="O4" s="28" t="s">
        <v>22</v>
      </c>
      <c r="P4" s="29">
        <v>19250</v>
      </c>
      <c r="Q4" s="28" t="s">
        <v>22</v>
      </c>
      <c r="R4" s="28">
        <v>42.35</v>
      </c>
      <c r="S4" s="28">
        <v>42.85</v>
      </c>
      <c r="T4" s="28" t="s">
        <v>22</v>
      </c>
      <c r="U4" s="28">
        <v>-29.72</v>
      </c>
      <c r="V4" s="28">
        <v>42.45</v>
      </c>
      <c r="W4" s="28">
        <v>11.39</v>
      </c>
      <c r="X4" s="28">
        <v>78395</v>
      </c>
      <c r="Y4" s="28">
        <v>795</v>
      </c>
      <c r="Z4" s="28">
        <v>14003</v>
      </c>
      <c r="AA4" s="28">
        <v>-9.2999999999999999E-2</v>
      </c>
      <c r="AB4" s="28">
        <v>8.4600000000000009</v>
      </c>
      <c r="AC4" s="28">
        <v>-5.14</v>
      </c>
      <c r="AD4" s="28">
        <v>8.9999999999999998E-4</v>
      </c>
      <c r="AE4" s="28">
        <v>-0.23</v>
      </c>
    </row>
    <row r="5" spans="1:31" x14ac:dyDescent="0.25">
      <c r="A5" s="28">
        <v>0.72</v>
      </c>
      <c r="B5" s="28">
        <v>1.1000000000000001E-3</v>
      </c>
      <c r="C5" s="28">
        <v>-5.55</v>
      </c>
      <c r="D5" s="28">
        <v>9.39</v>
      </c>
      <c r="E5" s="28">
        <v>0.38100000000000001</v>
      </c>
      <c r="F5" s="28">
        <v>27892</v>
      </c>
      <c r="G5" s="28">
        <v>-3653</v>
      </c>
      <c r="H5" s="28">
        <v>98950</v>
      </c>
      <c r="I5" s="28">
        <v>11.35</v>
      </c>
      <c r="J5" s="28">
        <v>186</v>
      </c>
      <c r="K5" s="28">
        <v>13.55</v>
      </c>
      <c r="L5" s="28" t="s">
        <v>22</v>
      </c>
      <c r="M5" s="28">
        <v>184.95</v>
      </c>
      <c r="N5" s="28">
        <v>186.9</v>
      </c>
      <c r="O5" s="28" t="s">
        <v>22</v>
      </c>
      <c r="P5" s="29">
        <v>19300</v>
      </c>
      <c r="Q5" s="28" t="s">
        <v>22</v>
      </c>
      <c r="R5" s="28">
        <v>54.95</v>
      </c>
      <c r="S5" s="28">
        <v>55.4</v>
      </c>
      <c r="T5" s="28" t="s">
        <v>22</v>
      </c>
      <c r="U5" s="28">
        <v>-28.2</v>
      </c>
      <c r="V5" s="28">
        <v>55</v>
      </c>
      <c r="W5" s="28">
        <v>11.35</v>
      </c>
      <c r="X5" s="28">
        <v>222442</v>
      </c>
      <c r="Y5" s="28">
        <v>7713</v>
      </c>
      <c r="Z5" s="28">
        <v>72009</v>
      </c>
      <c r="AA5" s="28">
        <v>-0.113</v>
      </c>
      <c r="AB5" s="28">
        <v>9.39</v>
      </c>
      <c r="AC5" s="28">
        <v>-5.55</v>
      </c>
      <c r="AD5" s="28">
        <v>1.1000000000000001E-3</v>
      </c>
      <c r="AE5" s="28">
        <v>-0.28000000000000003</v>
      </c>
    </row>
    <row r="6" spans="1:31" x14ac:dyDescent="0.25">
      <c r="A6" s="28">
        <v>0.67</v>
      </c>
      <c r="B6" s="28">
        <v>1.1000000000000001E-3</v>
      </c>
      <c r="C6" s="28">
        <v>-5.85</v>
      </c>
      <c r="D6" s="28">
        <v>10.18</v>
      </c>
      <c r="E6" s="28">
        <v>0.316</v>
      </c>
      <c r="F6" s="28">
        <v>9330</v>
      </c>
      <c r="G6" s="28">
        <v>-1829</v>
      </c>
      <c r="H6" s="28">
        <v>66034</v>
      </c>
      <c r="I6" s="28">
        <v>11.37</v>
      </c>
      <c r="J6" s="28">
        <v>153.80000000000001</v>
      </c>
      <c r="K6" s="28">
        <v>15.47</v>
      </c>
      <c r="L6" s="28" t="s">
        <v>22</v>
      </c>
      <c r="M6" s="28">
        <v>149.15</v>
      </c>
      <c r="N6" s="28">
        <v>153.05000000000001</v>
      </c>
      <c r="O6" s="28" t="s">
        <v>22</v>
      </c>
      <c r="P6" s="29">
        <v>19350</v>
      </c>
      <c r="Q6" s="28" t="s">
        <v>22</v>
      </c>
      <c r="R6" s="28">
        <v>69.349999999999994</v>
      </c>
      <c r="S6" s="28">
        <v>71.099999999999994</v>
      </c>
      <c r="T6" s="28" t="s">
        <v>22</v>
      </c>
      <c r="U6" s="28">
        <v>-25.98</v>
      </c>
      <c r="V6" s="28">
        <v>70.650000000000006</v>
      </c>
      <c r="W6" s="28">
        <v>11.37</v>
      </c>
      <c r="X6" s="28">
        <v>115058</v>
      </c>
      <c r="Y6" s="28">
        <v>3697</v>
      </c>
      <c r="Z6" s="28">
        <v>19442</v>
      </c>
      <c r="AA6" s="28">
        <v>-0.13600000000000001</v>
      </c>
      <c r="AB6" s="28">
        <v>10.18</v>
      </c>
      <c r="AC6" s="28">
        <v>-5.85</v>
      </c>
      <c r="AD6" s="28">
        <v>1.1000000000000001E-3</v>
      </c>
      <c r="AE6" s="28">
        <v>-0.33</v>
      </c>
    </row>
    <row r="7" spans="1:31" x14ac:dyDescent="0.25">
      <c r="A7" s="28">
        <v>0.61</v>
      </c>
      <c r="B7" s="28">
        <v>1.1999999999999999E-3</v>
      </c>
      <c r="C7" s="28">
        <v>-5.93</v>
      </c>
      <c r="D7" s="28">
        <v>10.76</v>
      </c>
      <c r="E7" s="28">
        <v>0.27300000000000002</v>
      </c>
      <c r="F7" s="28">
        <v>54833</v>
      </c>
      <c r="G7" s="28">
        <v>5402</v>
      </c>
      <c r="H7" s="28">
        <v>388495</v>
      </c>
      <c r="I7" s="28">
        <v>11.32</v>
      </c>
      <c r="J7" s="28">
        <v>121.45</v>
      </c>
      <c r="K7" s="28">
        <v>15.39</v>
      </c>
      <c r="L7" s="28" t="s">
        <v>22</v>
      </c>
      <c r="M7" s="28">
        <v>121.05</v>
      </c>
      <c r="N7" s="28">
        <v>121.9</v>
      </c>
      <c r="O7" s="28" t="s">
        <v>22</v>
      </c>
      <c r="P7" s="29">
        <v>19400</v>
      </c>
      <c r="Q7" s="28" t="s">
        <v>22</v>
      </c>
      <c r="R7" s="28">
        <v>89.3</v>
      </c>
      <c r="S7" s="28">
        <v>89.85</v>
      </c>
      <c r="T7" s="28" t="s">
        <v>22</v>
      </c>
      <c r="U7" s="28">
        <v>-24.9</v>
      </c>
      <c r="V7" s="28">
        <v>88.5</v>
      </c>
      <c r="W7" s="28">
        <v>11.32</v>
      </c>
      <c r="X7" s="28">
        <v>363127</v>
      </c>
      <c r="Y7" s="28">
        <v>24948</v>
      </c>
      <c r="Z7" s="28">
        <v>78122</v>
      </c>
      <c r="AA7" s="28">
        <v>-0.16</v>
      </c>
      <c r="AB7" s="28">
        <v>10.76</v>
      </c>
      <c r="AC7" s="28">
        <v>-5.93</v>
      </c>
      <c r="AD7" s="28">
        <v>1.1999999999999999E-3</v>
      </c>
      <c r="AE7" s="28">
        <v>-0.39</v>
      </c>
    </row>
    <row r="8" spans="1:31" x14ac:dyDescent="0.25">
      <c r="A8" s="29">
        <v>0.56999999999999995</v>
      </c>
      <c r="B8" s="29">
        <v>2E-3</v>
      </c>
      <c r="C8" s="29">
        <v>-2.69</v>
      </c>
      <c r="D8" s="29">
        <v>10.99</v>
      </c>
      <c r="E8" s="29">
        <v>0.22900000000000001</v>
      </c>
      <c r="F8" s="29">
        <v>20927</v>
      </c>
      <c r="G8" s="29">
        <v>6293</v>
      </c>
      <c r="H8" s="29">
        <v>166189</v>
      </c>
      <c r="I8" s="29">
        <v>6.87</v>
      </c>
      <c r="J8" s="29">
        <v>95.1</v>
      </c>
      <c r="K8" s="29">
        <v>16.05</v>
      </c>
      <c r="L8" s="29" t="s">
        <v>22</v>
      </c>
      <c r="M8" s="29">
        <v>94.65</v>
      </c>
      <c r="N8" s="29">
        <v>95.35</v>
      </c>
      <c r="O8" s="29" t="s">
        <v>22</v>
      </c>
      <c r="P8" s="29">
        <v>19450</v>
      </c>
      <c r="Q8" s="29" t="s">
        <v>22</v>
      </c>
      <c r="R8" s="29">
        <v>113</v>
      </c>
      <c r="S8" s="29">
        <v>113.45</v>
      </c>
      <c r="T8" s="29" t="s">
        <v>22</v>
      </c>
      <c r="U8" s="29">
        <v>-21.2</v>
      </c>
      <c r="V8" s="29">
        <v>113</v>
      </c>
      <c r="W8" s="29">
        <v>6.87</v>
      </c>
      <c r="X8" s="29">
        <v>99380</v>
      </c>
      <c r="Y8" s="29">
        <v>10604</v>
      </c>
      <c r="Z8" s="29">
        <v>16473</v>
      </c>
      <c r="AA8" s="29">
        <v>-0.186</v>
      </c>
      <c r="AB8" s="29">
        <v>10.99</v>
      </c>
      <c r="AC8" s="29">
        <v>-2.69</v>
      </c>
      <c r="AD8" s="29">
        <v>2E-3</v>
      </c>
      <c r="AE8" s="29">
        <v>-0.43</v>
      </c>
    </row>
    <row r="9" spans="1:31" x14ac:dyDescent="0.25">
      <c r="A9" s="28">
        <v>0.47</v>
      </c>
      <c r="B9" s="28">
        <v>2E-3</v>
      </c>
      <c r="C9" s="28">
        <v>-2.38</v>
      </c>
      <c r="D9" s="28">
        <v>11.14</v>
      </c>
      <c r="E9" s="28">
        <v>0.188</v>
      </c>
      <c r="F9" s="28">
        <v>76799</v>
      </c>
      <c r="G9" s="28">
        <v>8518</v>
      </c>
      <c r="H9" s="28">
        <v>336172</v>
      </c>
      <c r="I9" s="28">
        <v>7.1</v>
      </c>
      <c r="J9" s="28">
        <v>71.75</v>
      </c>
      <c r="K9" s="28">
        <v>16.29</v>
      </c>
      <c r="L9" s="28" t="s">
        <v>22</v>
      </c>
      <c r="M9" s="28">
        <v>71.8</v>
      </c>
      <c r="N9" s="28">
        <v>72.3</v>
      </c>
      <c r="O9" s="28" t="s">
        <v>22</v>
      </c>
      <c r="P9" s="29">
        <v>19500</v>
      </c>
      <c r="Q9" s="28" t="s">
        <v>22</v>
      </c>
      <c r="R9" s="28">
        <v>138.75</v>
      </c>
      <c r="S9" s="28">
        <v>141.1</v>
      </c>
      <c r="T9" s="28" t="s">
        <v>22</v>
      </c>
      <c r="U9" s="28">
        <v>-19.52</v>
      </c>
      <c r="V9" s="28">
        <v>140</v>
      </c>
      <c r="W9" s="28">
        <v>7.1</v>
      </c>
      <c r="X9" s="28">
        <v>137525</v>
      </c>
      <c r="Y9" s="28">
        <v>6634</v>
      </c>
      <c r="Z9" s="28">
        <v>53001</v>
      </c>
      <c r="AA9" s="28">
        <v>-0.21099999999999999</v>
      </c>
      <c r="AB9" s="28">
        <v>11.14</v>
      </c>
      <c r="AC9" s="28">
        <v>-2.38</v>
      </c>
      <c r="AD9" s="28">
        <v>2E-3</v>
      </c>
      <c r="AE9" s="28">
        <v>-0.53</v>
      </c>
    </row>
    <row r="10" spans="1:31" x14ac:dyDescent="0.25">
      <c r="A10" s="28">
        <v>0.38</v>
      </c>
      <c r="B10" s="28">
        <v>1.9E-3</v>
      </c>
      <c r="C10" s="28">
        <v>-1.75</v>
      </c>
      <c r="D10" s="28">
        <v>10.63</v>
      </c>
      <c r="E10" s="28">
        <v>0.151</v>
      </c>
      <c r="F10" s="28">
        <v>22416</v>
      </c>
      <c r="G10" s="28">
        <v>2463</v>
      </c>
      <c r="H10" s="28">
        <v>123951</v>
      </c>
      <c r="I10" s="28">
        <v>7.28</v>
      </c>
      <c r="J10" s="28">
        <v>52.85</v>
      </c>
      <c r="K10" s="28">
        <v>17.440000000000001</v>
      </c>
      <c r="L10" s="28" t="s">
        <v>22</v>
      </c>
      <c r="M10" s="28">
        <v>53</v>
      </c>
      <c r="N10" s="28">
        <v>53.45</v>
      </c>
      <c r="O10" s="28" t="s">
        <v>22</v>
      </c>
      <c r="P10" s="29">
        <v>19550</v>
      </c>
      <c r="Q10" s="28" t="s">
        <v>22</v>
      </c>
      <c r="R10" s="28">
        <v>168.3</v>
      </c>
      <c r="S10" s="28">
        <v>171.95</v>
      </c>
      <c r="T10" s="28" t="s">
        <v>22</v>
      </c>
      <c r="U10" s="28">
        <v>-16.829999999999998</v>
      </c>
      <c r="V10" s="28">
        <v>171.5</v>
      </c>
      <c r="W10" s="28">
        <v>7.28</v>
      </c>
      <c r="X10" s="28">
        <v>15529</v>
      </c>
      <c r="Y10" s="28">
        <v>-42</v>
      </c>
      <c r="Z10" s="28">
        <v>4405</v>
      </c>
      <c r="AA10" s="28">
        <v>-0.23400000000000001</v>
      </c>
      <c r="AB10" s="28">
        <v>10.63</v>
      </c>
      <c r="AC10" s="28">
        <v>-1.75</v>
      </c>
      <c r="AD10" s="28">
        <v>1.9E-3</v>
      </c>
      <c r="AE10" s="28">
        <v>-0.62</v>
      </c>
    </row>
    <row r="11" spans="1:31" x14ac:dyDescent="0.25">
      <c r="A11" s="28">
        <v>0.28999999999999998</v>
      </c>
      <c r="B11" s="28">
        <v>1.6000000000000001E-3</v>
      </c>
      <c r="C11" s="28">
        <v>-0.91</v>
      </c>
      <c r="D11" s="28">
        <v>9.6199999999999992</v>
      </c>
      <c r="E11" s="28">
        <v>0.11700000000000001</v>
      </c>
      <c r="F11" s="28">
        <v>71318</v>
      </c>
      <c r="G11" s="28">
        <v>10683</v>
      </c>
      <c r="H11" s="28">
        <v>285590</v>
      </c>
      <c r="I11" s="28">
        <v>7.43</v>
      </c>
      <c r="J11" s="28">
        <v>38</v>
      </c>
      <c r="K11" s="28">
        <v>18.010000000000002</v>
      </c>
      <c r="L11" s="28" t="s">
        <v>22</v>
      </c>
      <c r="M11" s="28">
        <v>37.6</v>
      </c>
      <c r="N11" s="28">
        <v>38.25</v>
      </c>
      <c r="O11" s="28" t="s">
        <v>22</v>
      </c>
      <c r="P11" s="29">
        <v>19600</v>
      </c>
      <c r="Q11" s="28" t="s">
        <v>22</v>
      </c>
      <c r="R11" s="28">
        <v>205</v>
      </c>
      <c r="S11" s="28">
        <v>207.55</v>
      </c>
      <c r="T11" s="28" t="s">
        <v>22</v>
      </c>
      <c r="U11" s="28">
        <v>-16.34</v>
      </c>
      <c r="V11" s="28">
        <v>205</v>
      </c>
      <c r="W11" s="28">
        <v>7.43</v>
      </c>
      <c r="X11" s="28">
        <v>44761</v>
      </c>
      <c r="Y11" s="28">
        <v>1422</v>
      </c>
      <c r="Z11" s="28">
        <v>15758</v>
      </c>
      <c r="AA11" s="28">
        <v>-0.25700000000000001</v>
      </c>
      <c r="AB11" s="28">
        <v>9.6199999999999992</v>
      </c>
      <c r="AC11" s="28">
        <v>-0.91</v>
      </c>
      <c r="AD11" s="28">
        <v>1.6000000000000001E-3</v>
      </c>
      <c r="AE11" s="28">
        <v>-0.71</v>
      </c>
    </row>
    <row r="12" spans="1:31" x14ac:dyDescent="0.25">
      <c r="A12" s="28">
        <v>0.22</v>
      </c>
      <c r="B12" s="28">
        <v>1.4E-3</v>
      </c>
      <c r="C12" s="28">
        <v>0.19</v>
      </c>
      <c r="D12" s="28">
        <v>8.2100000000000009</v>
      </c>
      <c r="E12" s="28">
        <v>8.6999999999999994E-2</v>
      </c>
      <c r="F12" s="28">
        <v>38111</v>
      </c>
      <c r="G12" s="28">
        <v>18226</v>
      </c>
      <c r="H12" s="28">
        <v>132065</v>
      </c>
      <c r="I12" s="28">
        <v>7.44</v>
      </c>
      <c r="J12" s="28">
        <v>25.6</v>
      </c>
      <c r="K12" s="28">
        <v>12.28</v>
      </c>
      <c r="L12" s="28" t="s">
        <v>22</v>
      </c>
      <c r="M12" s="28">
        <v>25.65</v>
      </c>
      <c r="N12" s="28">
        <v>27.85</v>
      </c>
      <c r="O12" s="28" t="s">
        <v>22</v>
      </c>
      <c r="P12" s="29">
        <v>19650</v>
      </c>
      <c r="Q12" s="28" t="s">
        <v>22</v>
      </c>
      <c r="R12" s="28">
        <v>241.35</v>
      </c>
      <c r="S12" s="28">
        <v>244.95</v>
      </c>
      <c r="T12" s="28" t="s">
        <v>22</v>
      </c>
      <c r="U12" s="28">
        <v>-15.03</v>
      </c>
      <c r="V12" s="28">
        <v>242.55</v>
      </c>
      <c r="W12" s="28">
        <v>7.44</v>
      </c>
      <c r="X12" s="28">
        <v>3553</v>
      </c>
      <c r="Y12" s="28">
        <v>-82</v>
      </c>
      <c r="Z12" s="28">
        <v>1989</v>
      </c>
      <c r="AA12" s="28">
        <v>-0.27600000000000002</v>
      </c>
      <c r="AB12" s="28">
        <v>8.2100000000000009</v>
      </c>
      <c r="AC12" s="28">
        <v>0.19</v>
      </c>
      <c r="AD12" s="28">
        <v>1.4E-3</v>
      </c>
      <c r="AE12" s="28">
        <v>-0.78</v>
      </c>
    </row>
    <row r="13" spans="1:31" x14ac:dyDescent="0.25">
      <c r="A13" s="28">
        <v>0.16</v>
      </c>
      <c r="B13" s="28">
        <v>1.1000000000000001E-3</v>
      </c>
      <c r="C13" s="28">
        <v>1.1399999999999999</v>
      </c>
      <c r="D13" s="28">
        <v>6.78</v>
      </c>
      <c r="E13" s="28">
        <v>6.4000000000000001E-2</v>
      </c>
      <c r="F13" s="28">
        <v>78449</v>
      </c>
      <c r="G13" s="28">
        <v>16311</v>
      </c>
      <c r="H13" s="28">
        <v>194077</v>
      </c>
      <c r="I13" s="28">
        <v>7.6</v>
      </c>
      <c r="J13" s="28">
        <v>17.649999999999999</v>
      </c>
      <c r="K13" s="28">
        <v>11.01</v>
      </c>
      <c r="L13" s="28" t="s">
        <v>22</v>
      </c>
      <c r="M13" s="28">
        <v>17.649999999999999</v>
      </c>
      <c r="N13" s="28">
        <v>17.899999999999999</v>
      </c>
      <c r="O13" s="28" t="s">
        <v>22</v>
      </c>
      <c r="P13" s="29">
        <v>19700</v>
      </c>
      <c r="Q13" s="28" t="s">
        <v>22</v>
      </c>
      <c r="R13" s="28">
        <v>280.05</v>
      </c>
      <c r="S13" s="28">
        <v>285.5</v>
      </c>
      <c r="T13" s="28" t="s">
        <v>22</v>
      </c>
      <c r="U13" s="28">
        <v>-14.92</v>
      </c>
      <c r="V13" s="28">
        <v>280</v>
      </c>
      <c r="W13" s="28">
        <v>7.6</v>
      </c>
      <c r="X13" s="28">
        <v>10219</v>
      </c>
      <c r="Y13" s="28">
        <v>533</v>
      </c>
      <c r="Z13" s="28">
        <v>18552</v>
      </c>
      <c r="AA13" s="28">
        <v>-0.29399999999999998</v>
      </c>
      <c r="AB13" s="28">
        <v>6.78</v>
      </c>
      <c r="AC13" s="28">
        <v>1.1399999999999999</v>
      </c>
      <c r="AD13" s="28">
        <v>1.1000000000000001E-3</v>
      </c>
      <c r="AE13" s="28">
        <v>-0.84</v>
      </c>
    </row>
    <row r="14" spans="1:31" x14ac:dyDescent="0.25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</row>
    <row r="15" spans="1:31" x14ac:dyDescent="0.25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</row>
    <row r="16" spans="1:31" x14ac:dyDescent="0.25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</row>
    <row r="17" spans="1:31" x14ac:dyDescent="0.25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</row>
    <row r="18" spans="1:31" x14ac:dyDescent="0.25">
      <c r="A18" s="37"/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</row>
    <row r="19" spans="1:31" x14ac:dyDescent="0.25">
      <c r="A19" s="37"/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</row>
    <row r="20" spans="1:31" x14ac:dyDescent="0.25">
      <c r="A20" s="37"/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</row>
    <row r="21" spans="1:31" x14ac:dyDescent="0.25">
      <c r="A21" s="37"/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</row>
    <row r="22" spans="1:31" x14ac:dyDescent="0.25">
      <c r="A22" s="37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</row>
    <row r="23" spans="1:31" x14ac:dyDescent="0.25">
      <c r="A23" s="37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</row>
    <row r="24" spans="1:31" x14ac:dyDescent="0.25">
      <c r="A24" s="37"/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</row>
    <row r="25" spans="1:31" x14ac:dyDescent="0.25">
      <c r="A25" s="37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</row>
    <row r="26" spans="1:31" x14ac:dyDescent="0.25">
      <c r="A26" s="37"/>
      <c r="B26" s="37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</row>
    <row r="27" spans="1:31" x14ac:dyDescent="0.25">
      <c r="A27" s="37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</row>
    <row r="28" spans="1:31" x14ac:dyDescent="0.25">
      <c r="A28" s="37"/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</row>
    <row r="29" spans="1:31" x14ac:dyDescent="0.25">
      <c r="A29" s="37"/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</row>
    <row r="30" spans="1:31" x14ac:dyDescent="0.25">
      <c r="A30" s="37"/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</row>
    <row r="31" spans="1:31" x14ac:dyDescent="0.25">
      <c r="A31" s="37"/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</row>
    <row r="32" spans="1:31" x14ac:dyDescent="0.25">
      <c r="A32" s="37"/>
      <c r="B32" s="37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</row>
    <row r="33" spans="1:31" x14ac:dyDescent="0.25">
      <c r="A33" s="37"/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</row>
    <row r="34" spans="1:31" x14ac:dyDescent="0.25">
      <c r="A34" s="37"/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</row>
    <row r="35" spans="1:31" x14ac:dyDescent="0.25">
      <c r="A35" s="37"/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</row>
    <row r="36" spans="1:31" x14ac:dyDescent="0.25">
      <c r="A36" s="37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</row>
    <row r="37" spans="1:31" x14ac:dyDescent="0.25">
      <c r="A37" s="37"/>
      <c r="B37" s="37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</row>
    <row r="38" spans="1:31" x14ac:dyDescent="0.25">
      <c r="A38" s="37"/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</row>
    <row r="39" spans="1:31" x14ac:dyDescent="0.25">
      <c r="A39" s="37"/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</row>
    <row r="40" spans="1:31" x14ac:dyDescent="0.25">
      <c r="A40" s="37"/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</row>
    <row r="41" spans="1:31" x14ac:dyDescent="0.25">
      <c r="A41" s="37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</row>
    <row r="42" spans="1:31" x14ac:dyDescent="0.25">
      <c r="A42" s="37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</row>
    <row r="43" spans="1:31" x14ac:dyDescent="0.25">
      <c r="A43" s="37"/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</row>
    <row r="44" spans="1:31" x14ac:dyDescent="0.25">
      <c r="A44" s="37"/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</row>
    <row r="45" spans="1:31" x14ac:dyDescent="0.25">
      <c r="A45" s="37"/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</row>
    <row r="46" spans="1:31" x14ac:dyDescent="0.25">
      <c r="A46" s="37"/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</row>
    <row r="47" spans="1:31" x14ac:dyDescent="0.25">
      <c r="A47" s="37"/>
      <c r="B47" s="37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</row>
    <row r="48" spans="1:31" x14ac:dyDescent="0.25">
      <c r="A48" s="37"/>
      <c r="B48" s="37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</row>
    <row r="49" spans="1:31" x14ac:dyDescent="0.25">
      <c r="A49" s="37"/>
      <c r="B49" s="37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</row>
    <row r="50" spans="1:31" x14ac:dyDescent="0.25">
      <c r="A50" s="37"/>
      <c r="B50" s="37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</row>
    <row r="51" spans="1:31" x14ac:dyDescent="0.25">
      <c r="A51" s="37"/>
      <c r="B51" s="37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</row>
    <row r="52" spans="1:31" x14ac:dyDescent="0.25">
      <c r="A52" s="37"/>
      <c r="B52" s="37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</row>
    <row r="53" spans="1:31" x14ac:dyDescent="0.25">
      <c r="A53" s="37"/>
      <c r="B53" s="37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</row>
    <row r="54" spans="1:31" x14ac:dyDescent="0.25">
      <c r="A54" s="37"/>
      <c r="B54" s="37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</row>
    <row r="55" spans="1:31" x14ac:dyDescent="0.25">
      <c r="A55" s="37"/>
      <c r="B55" s="37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</row>
    <row r="56" spans="1:31" x14ac:dyDescent="0.25">
      <c r="A56" s="37"/>
      <c r="B56" s="37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</row>
    <row r="57" spans="1:31" x14ac:dyDescent="0.25">
      <c r="A57" s="37"/>
      <c r="B57" s="37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</row>
    <row r="58" spans="1:31" x14ac:dyDescent="0.25">
      <c r="A58" s="37"/>
      <c r="B58" s="37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</row>
    <row r="59" spans="1:31" x14ac:dyDescent="0.25">
      <c r="A59" s="37"/>
      <c r="B59" s="37"/>
      <c r="C59" s="37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</row>
    <row r="60" spans="1:31" x14ac:dyDescent="0.25">
      <c r="A60" s="37"/>
      <c r="B60" s="37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</row>
    <row r="61" spans="1:31" x14ac:dyDescent="0.25">
      <c r="A61" s="37"/>
      <c r="B61" s="37"/>
      <c r="C61" s="37"/>
      <c r="D61" s="37"/>
      <c r="E61" s="37"/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</row>
    <row r="62" spans="1:31" x14ac:dyDescent="0.25">
      <c r="A62" s="37"/>
      <c r="B62" s="37"/>
      <c r="C62" s="37"/>
      <c r="D62" s="37"/>
      <c r="E62" s="37"/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</row>
    <row r="63" spans="1:31" x14ac:dyDescent="0.25">
      <c r="A63" s="37"/>
      <c r="B63" s="37"/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</row>
    <row r="64" spans="1:31" x14ac:dyDescent="0.25">
      <c r="A64" s="37"/>
      <c r="B64" s="37"/>
      <c r="C64" s="37"/>
      <c r="D64" s="37"/>
      <c r="E64" s="37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</row>
    <row r="65" spans="1:31" x14ac:dyDescent="0.25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</row>
    <row r="66" spans="1:31" x14ac:dyDescent="0.25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</row>
    <row r="67" spans="1:31" x14ac:dyDescent="0.25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  <c r="AD67" s="37"/>
      <c r="AE67" s="37"/>
    </row>
    <row r="68" spans="1:31" x14ac:dyDescent="0.25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</row>
    <row r="69" spans="1:31" x14ac:dyDescent="0.25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</row>
    <row r="70" spans="1:31" x14ac:dyDescent="0.25">
      <c r="A70" s="37"/>
      <c r="B70" s="37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</row>
    <row r="71" spans="1:31" x14ac:dyDescent="0.25">
      <c r="A71" s="37"/>
      <c r="B71" s="37"/>
      <c r="C71" s="37"/>
      <c r="D71" s="37"/>
      <c r="E71" s="37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  <c r="AE71" s="37"/>
    </row>
    <row r="72" spans="1:31" x14ac:dyDescent="0.25">
      <c r="A72" s="37"/>
      <c r="B72" s="37"/>
      <c r="C72" s="37"/>
      <c r="D72" s="37"/>
      <c r="E72" s="37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</row>
    <row r="73" spans="1:31" x14ac:dyDescent="0.25">
      <c r="A73" s="37"/>
      <c r="B73" s="37"/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</row>
    <row r="74" spans="1:31" x14ac:dyDescent="0.25">
      <c r="A74" s="37"/>
      <c r="B74" s="37"/>
      <c r="C74" s="37"/>
      <c r="D74" s="37"/>
      <c r="E74" s="37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</row>
    <row r="75" spans="1:31" x14ac:dyDescent="0.25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</row>
    <row r="76" spans="1:31" x14ac:dyDescent="0.25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</row>
    <row r="77" spans="1:31" x14ac:dyDescent="0.25">
      <c r="A77" s="37"/>
      <c r="B77" s="37"/>
      <c r="C77" s="37"/>
      <c r="D77" s="37"/>
      <c r="E77" s="37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</row>
    <row r="78" spans="1:31" x14ac:dyDescent="0.25">
      <c r="A78" s="37"/>
      <c r="B78" s="37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</row>
    <row r="79" spans="1:31" x14ac:dyDescent="0.25">
      <c r="A79" s="37"/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</row>
    <row r="80" spans="1:31" x14ac:dyDescent="0.25">
      <c r="A80" s="37"/>
      <c r="B80" s="37"/>
      <c r="C80" s="37"/>
      <c r="D80" s="37"/>
      <c r="E80" s="37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</row>
    <row r="81" spans="1:31" x14ac:dyDescent="0.25">
      <c r="A81" s="37"/>
      <c r="B81" s="37"/>
      <c r="C81" s="37"/>
      <c r="D81" s="37"/>
      <c r="E81" s="37"/>
      <c r="F81" s="37"/>
      <c r="G81" s="37"/>
      <c r="H81" s="37"/>
      <c r="I81" s="37"/>
      <c r="J81" s="37"/>
      <c r="K81" s="37"/>
      <c r="L81" s="37"/>
      <c r="M81" s="37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</row>
    <row r="82" spans="1:31" x14ac:dyDescent="0.25">
      <c r="A82" s="37"/>
      <c r="B82" s="37"/>
      <c r="C82" s="37"/>
      <c r="D82" s="37"/>
      <c r="E82" s="37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</row>
    <row r="83" spans="1:31" x14ac:dyDescent="0.25">
      <c r="A83" s="37"/>
      <c r="B83" s="37"/>
      <c r="C83" s="37"/>
      <c r="D83" s="37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</row>
    <row r="84" spans="1:31" x14ac:dyDescent="0.25">
      <c r="A84" s="37"/>
      <c r="B84" s="37"/>
      <c r="C84" s="37"/>
      <c r="D84" s="37"/>
      <c r="E84" s="37"/>
      <c r="F84" s="37"/>
      <c r="G84" s="37"/>
      <c r="H84" s="37"/>
      <c r="I84" s="37"/>
      <c r="J84" s="37"/>
      <c r="K84" s="37"/>
      <c r="L84" s="37"/>
      <c r="M84" s="37"/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  <c r="AC84" s="37"/>
      <c r="AD84" s="37"/>
      <c r="AE84" s="37"/>
    </row>
    <row r="85" spans="1:31" x14ac:dyDescent="0.25">
      <c r="A85" s="37"/>
      <c r="B85" s="37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  <c r="AC85" s="37"/>
      <c r="AD85" s="37"/>
      <c r="AE85" s="37"/>
    </row>
    <row r="86" spans="1:31" x14ac:dyDescent="0.25">
      <c r="A86" s="37"/>
      <c r="B86" s="37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  <c r="AC86" s="37"/>
      <c r="AD86" s="37"/>
      <c r="AE86" s="37"/>
    </row>
    <row r="87" spans="1:31" x14ac:dyDescent="0.25">
      <c r="A87" s="37"/>
      <c r="B87" s="37"/>
      <c r="C87" s="37"/>
      <c r="D87" s="37"/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  <c r="AD87" s="37"/>
      <c r="AE87" s="37"/>
    </row>
    <row r="88" spans="1:31" x14ac:dyDescent="0.25">
      <c r="A88" s="37"/>
      <c r="B88" s="37"/>
      <c r="C88" s="37"/>
      <c r="D88" s="37"/>
      <c r="E88" s="37"/>
      <c r="F88" s="37"/>
      <c r="G88" s="37"/>
      <c r="H88" s="37"/>
      <c r="I88" s="37"/>
      <c r="J88" s="37"/>
      <c r="K88" s="37"/>
      <c r="L88" s="37"/>
      <c r="M88" s="37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  <c r="AC88" s="37"/>
      <c r="AD88" s="37"/>
      <c r="AE88" s="37"/>
    </row>
    <row r="89" spans="1:31" x14ac:dyDescent="0.25">
      <c r="A89" s="37"/>
      <c r="B89" s="37"/>
      <c r="C89" s="37"/>
      <c r="D89" s="37"/>
      <c r="E89" s="37"/>
      <c r="F89" s="37"/>
      <c r="G89" s="37"/>
      <c r="H89" s="37"/>
      <c r="I89" s="37"/>
      <c r="J89" s="37"/>
      <c r="K89" s="37"/>
      <c r="L89" s="37"/>
      <c r="M89" s="37"/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  <c r="AC89" s="37"/>
      <c r="AD89" s="37"/>
      <c r="AE89" s="37"/>
    </row>
    <row r="90" spans="1:31" x14ac:dyDescent="0.25">
      <c r="A90" s="37"/>
      <c r="B90" s="37"/>
      <c r="C90" s="37"/>
      <c r="D90" s="37"/>
      <c r="E90" s="37"/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  <c r="AC90" s="37"/>
      <c r="AD90" s="37"/>
      <c r="AE90" s="37"/>
    </row>
    <row r="91" spans="1:31" x14ac:dyDescent="0.25">
      <c r="A91" s="37"/>
      <c r="B91" s="37"/>
      <c r="C91" s="37"/>
      <c r="D91" s="37"/>
      <c r="E91" s="37"/>
      <c r="F91" s="37"/>
      <c r="G91" s="37"/>
      <c r="H91" s="37"/>
      <c r="I91" s="37"/>
      <c r="J91" s="37"/>
      <c r="K91" s="37"/>
      <c r="L91" s="37"/>
      <c r="M91" s="37"/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  <c r="AC91" s="37"/>
      <c r="AD91" s="37"/>
      <c r="AE91" s="37"/>
    </row>
    <row r="92" spans="1:31" x14ac:dyDescent="0.25">
      <c r="A92" s="37"/>
      <c r="B92" s="37"/>
      <c r="C92" s="37"/>
      <c r="D92" s="37"/>
      <c r="E92" s="37"/>
      <c r="F92" s="37"/>
      <c r="G92" s="37"/>
      <c r="H92" s="37"/>
      <c r="I92" s="37"/>
      <c r="J92" s="37"/>
      <c r="K92" s="37"/>
      <c r="L92" s="37"/>
      <c r="M92" s="37"/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  <c r="AC92" s="37"/>
      <c r="AD92" s="37"/>
      <c r="AE92" s="37"/>
    </row>
    <row r="93" spans="1:31" x14ac:dyDescent="0.25">
      <c r="A93" s="37"/>
      <c r="B93" s="37"/>
      <c r="C93" s="37"/>
      <c r="D93" s="37"/>
      <c r="E93" s="37"/>
      <c r="F93" s="37"/>
      <c r="G93" s="37"/>
      <c r="H93" s="37"/>
      <c r="I93" s="37"/>
      <c r="J93" s="37"/>
      <c r="K93" s="37"/>
      <c r="L93" s="37"/>
      <c r="M93" s="37"/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  <c r="AC93" s="37"/>
      <c r="AD93" s="37"/>
      <c r="AE93" s="37"/>
    </row>
    <row r="94" spans="1:31" x14ac:dyDescent="0.25">
      <c r="A94" s="37"/>
      <c r="B94" s="37"/>
      <c r="C94" s="37"/>
      <c r="D94" s="37"/>
      <c r="E94" s="37"/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  <c r="AC94" s="37"/>
      <c r="AD94" s="37"/>
      <c r="AE94" s="37"/>
    </row>
    <row r="95" spans="1:31" x14ac:dyDescent="0.25">
      <c r="A95" s="37"/>
      <c r="B95" s="37"/>
      <c r="C95" s="37"/>
      <c r="D95" s="37"/>
      <c r="E95" s="37"/>
      <c r="F95" s="37"/>
      <c r="G95" s="37"/>
      <c r="H95" s="37"/>
      <c r="I95" s="37"/>
      <c r="J95" s="37"/>
      <c r="K95" s="37"/>
      <c r="L95" s="37"/>
      <c r="M95" s="37"/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  <c r="AC95" s="37"/>
      <c r="AD95" s="37"/>
      <c r="AE95" s="37"/>
    </row>
    <row r="96" spans="1:31" x14ac:dyDescent="0.25">
      <c r="A96" s="37"/>
      <c r="B96" s="37"/>
      <c r="C96" s="37"/>
      <c r="D96" s="37"/>
      <c r="E96" s="37"/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  <c r="AC96" s="37"/>
      <c r="AD96" s="37"/>
      <c r="AE96" s="37"/>
    </row>
    <row r="97" spans="1:31" x14ac:dyDescent="0.25">
      <c r="A97" s="37"/>
      <c r="B97" s="37"/>
      <c r="C97" s="37"/>
      <c r="D97" s="37"/>
      <c r="E97" s="37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  <c r="AC97" s="37"/>
      <c r="AD97" s="37"/>
      <c r="AE97" s="37"/>
    </row>
    <row r="98" spans="1:31" x14ac:dyDescent="0.25">
      <c r="A98" s="37"/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  <c r="AC98" s="37"/>
      <c r="AD98" s="37"/>
      <c r="AE98" s="37"/>
    </row>
    <row r="99" spans="1:31" x14ac:dyDescent="0.25">
      <c r="A99" s="37"/>
      <c r="B99" s="37"/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  <c r="AC99" s="37"/>
      <c r="AD99" s="37"/>
      <c r="AE99" s="37"/>
    </row>
    <row r="100" spans="1:31" x14ac:dyDescent="0.25">
      <c r="A100" s="37"/>
      <c r="B100" s="37"/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  <c r="AC100" s="37"/>
      <c r="AD100" s="37"/>
      <c r="AE100" s="37"/>
    </row>
    <row r="101" spans="1:31" x14ac:dyDescent="0.25">
      <c r="A101" s="37"/>
      <c r="B101" s="37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7"/>
      <c r="AC101" s="37"/>
      <c r="AD101" s="37"/>
      <c r="AE101" s="37"/>
    </row>
    <row r="102" spans="1:31" x14ac:dyDescent="0.25">
      <c r="A102" s="37"/>
      <c r="B102" s="37"/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  <c r="AB102" s="37"/>
      <c r="AC102" s="37"/>
      <c r="AD102" s="37"/>
      <c r="AE102" s="37"/>
    </row>
    <row r="103" spans="1:31" x14ac:dyDescent="0.25">
      <c r="A103" s="37"/>
      <c r="B103" s="37"/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  <c r="AB103" s="37"/>
      <c r="AC103" s="37"/>
      <c r="AD103" s="37"/>
      <c r="AE103" s="37"/>
    </row>
    <row r="104" spans="1:31" x14ac:dyDescent="0.25">
      <c r="A104" s="37"/>
      <c r="B104" s="37"/>
      <c r="C104" s="37"/>
      <c r="D104" s="37"/>
      <c r="E104" s="37"/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  <c r="AA104" s="37"/>
      <c r="AB104" s="37"/>
      <c r="AC104" s="37"/>
      <c r="AD104" s="37"/>
      <c r="AE104" s="37"/>
    </row>
    <row r="105" spans="1:31" x14ac:dyDescent="0.25">
      <c r="A105" s="37"/>
      <c r="B105" s="37"/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  <c r="AA105" s="37"/>
      <c r="AB105" s="37"/>
      <c r="AC105" s="37"/>
      <c r="AD105" s="37"/>
      <c r="AE105" s="37"/>
    </row>
    <row r="106" spans="1:31" x14ac:dyDescent="0.25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</row>
    <row r="107" spans="1:31" x14ac:dyDescent="0.25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</row>
    <row r="108" spans="1:31" x14ac:dyDescent="0.25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</row>
    <row r="109" spans="1:31" x14ac:dyDescent="0.25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</row>
    <row r="110" spans="1:31" x14ac:dyDescent="0.25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</row>
    <row r="111" spans="1:31" x14ac:dyDescent="0.25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</row>
    <row r="112" spans="1:31" x14ac:dyDescent="0.25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</row>
    <row r="113" spans="1:31" x14ac:dyDescent="0.25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</row>
    <row r="114" spans="1:31" x14ac:dyDescent="0.25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</row>
    <row r="115" spans="1:31" x14ac:dyDescent="0.25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</row>
    <row r="116" spans="1:31" x14ac:dyDescent="0.25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</row>
    <row r="117" spans="1:31" x14ac:dyDescent="0.25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</row>
    <row r="118" spans="1:31" x14ac:dyDescent="0.25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</row>
    <row r="119" spans="1:31" x14ac:dyDescent="0.25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</row>
    <row r="120" spans="1:31" x14ac:dyDescent="0.25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</row>
    <row r="121" spans="1:31" x14ac:dyDescent="0.25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</row>
    <row r="122" spans="1:31" x14ac:dyDescent="0.25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</row>
    <row r="123" spans="1:31" x14ac:dyDescent="0.25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</row>
    <row r="124" spans="1:31" x14ac:dyDescent="0.25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</row>
    <row r="125" spans="1:31" x14ac:dyDescent="0.25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</row>
    <row r="126" spans="1:31" x14ac:dyDescent="0.25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</row>
    <row r="127" spans="1:31" x14ac:dyDescent="0.25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</row>
    <row r="128" spans="1:31" x14ac:dyDescent="0.25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</row>
    <row r="129" spans="1:31" x14ac:dyDescent="0.25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</row>
    <row r="130" spans="1:31" x14ac:dyDescent="0.25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</row>
    <row r="131" spans="1:31" x14ac:dyDescent="0.25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</row>
    <row r="132" spans="1:31" x14ac:dyDescent="0.25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</row>
    <row r="133" spans="1:31" x14ac:dyDescent="0.25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</row>
    <row r="134" spans="1:31" x14ac:dyDescent="0.25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</row>
    <row r="135" spans="1:31" x14ac:dyDescent="0.25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</row>
    <row r="136" spans="1:31" x14ac:dyDescent="0.25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</row>
    <row r="137" spans="1:31" x14ac:dyDescent="0.25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</row>
    <row r="138" spans="1:31" x14ac:dyDescent="0.25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</row>
    <row r="139" spans="1:31" x14ac:dyDescent="0.25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</row>
    <row r="140" spans="1:31" x14ac:dyDescent="0.25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</row>
    <row r="141" spans="1:31" x14ac:dyDescent="0.25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</row>
    <row r="142" spans="1:31" x14ac:dyDescent="0.25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</row>
    <row r="143" spans="1:31" x14ac:dyDescent="0.25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</row>
    <row r="144" spans="1:31" x14ac:dyDescent="0.25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</row>
    <row r="145" spans="1:31" x14ac:dyDescent="0.25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</row>
    <row r="146" spans="1:31" x14ac:dyDescent="0.25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</row>
    <row r="147" spans="1:31" x14ac:dyDescent="0.25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</row>
    <row r="148" spans="1:31" x14ac:dyDescent="0.25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</row>
    <row r="149" spans="1:31" x14ac:dyDescent="0.25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</row>
    <row r="150" spans="1:31" x14ac:dyDescent="0.25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</row>
    <row r="151" spans="1:31" x14ac:dyDescent="0.25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</row>
    <row r="152" spans="1:31" x14ac:dyDescent="0.25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</row>
    <row r="153" spans="1:31" x14ac:dyDescent="0.25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</row>
    <row r="154" spans="1:31" x14ac:dyDescent="0.25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</row>
    <row r="155" spans="1:31" x14ac:dyDescent="0.25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</row>
    <row r="156" spans="1:31" x14ac:dyDescent="0.25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</row>
    <row r="157" spans="1:31" x14ac:dyDescent="0.25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</row>
    <row r="158" spans="1:31" x14ac:dyDescent="0.25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</row>
    <row r="159" spans="1:31" x14ac:dyDescent="0.25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</row>
    <row r="160" spans="1:31" x14ac:dyDescent="0.25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</row>
    <row r="161" spans="1:31" x14ac:dyDescent="0.25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</row>
    <row r="162" spans="1:31" x14ac:dyDescent="0.25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</row>
    <row r="163" spans="1:31" x14ac:dyDescent="0.25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</row>
    <row r="164" spans="1:31" x14ac:dyDescent="0.25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</row>
    <row r="165" spans="1:31" x14ac:dyDescent="0.25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</row>
    <row r="166" spans="1:31" x14ac:dyDescent="0.25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</row>
    <row r="167" spans="1:31" x14ac:dyDescent="0.25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</row>
    <row r="168" spans="1:31" x14ac:dyDescent="0.25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</row>
    <row r="169" spans="1:31" x14ac:dyDescent="0.25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</row>
    <row r="170" spans="1:31" x14ac:dyDescent="0.25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</row>
    <row r="171" spans="1:31" x14ac:dyDescent="0.25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</row>
    <row r="172" spans="1:31" x14ac:dyDescent="0.25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</row>
    <row r="173" spans="1:31" x14ac:dyDescent="0.25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</row>
    <row r="174" spans="1:31" x14ac:dyDescent="0.25">
      <c r="A174" s="37"/>
      <c r="B174" s="37"/>
      <c r="C174" s="37"/>
      <c r="D174" s="37"/>
      <c r="E174" s="37"/>
      <c r="F174" s="37"/>
      <c r="G174" s="37"/>
      <c r="H174" s="37"/>
      <c r="I174" s="37"/>
      <c r="J174" s="37"/>
      <c r="K174" s="37"/>
      <c r="L174" s="37"/>
      <c r="M174" s="37"/>
      <c r="N174" s="37"/>
      <c r="O174" s="37"/>
      <c r="P174" s="37"/>
      <c r="Q174" s="37"/>
      <c r="R174" s="37"/>
      <c r="S174" s="37"/>
      <c r="T174" s="37"/>
      <c r="U174" s="37"/>
      <c r="V174" s="37"/>
      <c r="W174" s="37"/>
      <c r="X174" s="37"/>
      <c r="Y174" s="37"/>
      <c r="Z174" s="37"/>
      <c r="AA174" s="37"/>
      <c r="AB174" s="37"/>
      <c r="AC174" s="37"/>
      <c r="AD174" s="37"/>
      <c r="AE174" s="37"/>
    </row>
    <row r="175" spans="1:31" x14ac:dyDescent="0.25">
      <c r="A175" s="37"/>
      <c r="B175" s="37"/>
      <c r="C175" s="37"/>
      <c r="D175" s="37"/>
      <c r="E175" s="37"/>
      <c r="F175" s="37"/>
      <c r="G175" s="37"/>
      <c r="H175" s="37"/>
      <c r="I175" s="37"/>
      <c r="J175" s="37"/>
      <c r="K175" s="37"/>
      <c r="L175" s="37"/>
      <c r="M175" s="37"/>
      <c r="N175" s="37"/>
      <c r="O175" s="37"/>
      <c r="P175" s="37"/>
      <c r="Q175" s="37"/>
      <c r="R175" s="37"/>
      <c r="S175" s="37"/>
      <c r="T175" s="37"/>
      <c r="U175" s="37"/>
      <c r="V175" s="37"/>
      <c r="W175" s="37"/>
      <c r="X175" s="37"/>
      <c r="Y175" s="37"/>
      <c r="Z175" s="37"/>
      <c r="AA175" s="37"/>
      <c r="AB175" s="37"/>
      <c r="AC175" s="37"/>
      <c r="AD175" s="37"/>
      <c r="AE175" s="37"/>
    </row>
    <row r="176" spans="1:31" x14ac:dyDescent="0.25">
      <c r="A176" s="37"/>
      <c r="B176" s="37"/>
      <c r="C176" s="37"/>
      <c r="D176" s="37"/>
      <c r="E176" s="37"/>
      <c r="F176" s="37"/>
      <c r="G176" s="37"/>
      <c r="H176" s="37"/>
      <c r="I176" s="37"/>
      <c r="J176" s="37"/>
      <c r="K176" s="37"/>
      <c r="L176" s="37"/>
      <c r="M176" s="37"/>
      <c r="N176" s="37"/>
      <c r="O176" s="37"/>
      <c r="P176" s="37"/>
      <c r="Q176" s="37"/>
      <c r="R176" s="37"/>
      <c r="S176" s="37"/>
      <c r="T176" s="37"/>
      <c r="U176" s="37"/>
      <c r="V176" s="37"/>
      <c r="W176" s="37"/>
      <c r="X176" s="37"/>
      <c r="Y176" s="37"/>
      <c r="Z176" s="37"/>
      <c r="AA176" s="37"/>
      <c r="AB176" s="37"/>
      <c r="AC176" s="37"/>
      <c r="AD176" s="37"/>
      <c r="AE176" s="37"/>
    </row>
    <row r="177" spans="1:31" x14ac:dyDescent="0.25">
      <c r="A177" s="37"/>
      <c r="B177" s="37"/>
      <c r="C177" s="37"/>
      <c r="D177" s="37"/>
      <c r="E177" s="37"/>
      <c r="F177" s="37"/>
      <c r="G177" s="37"/>
      <c r="H177" s="37"/>
      <c r="I177" s="37"/>
      <c r="J177" s="37"/>
      <c r="K177" s="37"/>
      <c r="L177" s="37"/>
      <c r="M177" s="37"/>
      <c r="N177" s="37"/>
      <c r="O177" s="37"/>
      <c r="P177" s="37"/>
      <c r="Q177" s="37"/>
      <c r="R177" s="37"/>
      <c r="S177" s="37"/>
      <c r="T177" s="37"/>
      <c r="U177" s="37"/>
      <c r="V177" s="37"/>
      <c r="W177" s="37"/>
      <c r="X177" s="37"/>
      <c r="Y177" s="37"/>
      <c r="Z177" s="37"/>
      <c r="AA177" s="37"/>
      <c r="AB177" s="37"/>
      <c r="AC177" s="37"/>
      <c r="AD177" s="37"/>
      <c r="AE177" s="37"/>
    </row>
    <row r="178" spans="1:31" x14ac:dyDescent="0.25">
      <c r="A178" s="37"/>
      <c r="B178" s="37"/>
      <c r="C178" s="37"/>
      <c r="D178" s="37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  <c r="AC178" s="37"/>
      <c r="AD178" s="37"/>
      <c r="AE178" s="37"/>
    </row>
    <row r="179" spans="1:31" x14ac:dyDescent="0.25">
      <c r="A179" s="37"/>
      <c r="B179" s="37"/>
      <c r="C179" s="37"/>
      <c r="D179" s="37"/>
      <c r="E179" s="37"/>
      <c r="F179" s="37"/>
      <c r="G179" s="37"/>
      <c r="H179" s="37"/>
      <c r="I179" s="37"/>
      <c r="J179" s="37"/>
      <c r="K179" s="37"/>
      <c r="L179" s="37"/>
      <c r="M179" s="37"/>
      <c r="N179" s="37"/>
      <c r="O179" s="37"/>
      <c r="P179" s="37"/>
      <c r="Q179" s="37"/>
      <c r="R179" s="37"/>
      <c r="S179" s="37"/>
      <c r="T179" s="37"/>
      <c r="U179" s="37"/>
      <c r="V179" s="37"/>
      <c r="W179" s="37"/>
      <c r="X179" s="37"/>
      <c r="Y179" s="37"/>
      <c r="Z179" s="37"/>
      <c r="AA179" s="37"/>
      <c r="AB179" s="37"/>
      <c r="AC179" s="37"/>
      <c r="AD179" s="37"/>
      <c r="AE179" s="37"/>
    </row>
    <row r="180" spans="1:31" x14ac:dyDescent="0.25">
      <c r="A180" s="37"/>
      <c r="B180" s="37"/>
      <c r="C180" s="37"/>
      <c r="D180" s="37"/>
      <c r="E180" s="37"/>
      <c r="F180" s="37"/>
      <c r="G180" s="37"/>
      <c r="H180" s="37"/>
      <c r="I180" s="37"/>
      <c r="J180" s="37"/>
      <c r="K180" s="37"/>
      <c r="L180" s="37"/>
      <c r="M180" s="37"/>
      <c r="N180" s="37"/>
      <c r="O180" s="37"/>
      <c r="P180" s="37"/>
      <c r="Q180" s="37"/>
      <c r="R180" s="37"/>
      <c r="S180" s="37"/>
      <c r="T180" s="37"/>
      <c r="U180" s="37"/>
      <c r="V180" s="37"/>
      <c r="W180" s="37"/>
      <c r="X180" s="37"/>
      <c r="Y180" s="37"/>
      <c r="Z180" s="37"/>
      <c r="AA180" s="37"/>
      <c r="AB180" s="37"/>
      <c r="AC180" s="37"/>
      <c r="AD180" s="37"/>
      <c r="AE180" s="37"/>
    </row>
    <row r="181" spans="1:31" x14ac:dyDescent="0.25">
      <c r="A181" s="37"/>
      <c r="B181" s="37"/>
      <c r="C181" s="37"/>
      <c r="D181" s="37"/>
      <c r="E181" s="37"/>
      <c r="F181" s="37"/>
      <c r="G181" s="37"/>
      <c r="H181" s="37"/>
      <c r="I181" s="37"/>
      <c r="J181" s="37"/>
      <c r="K181" s="37"/>
      <c r="L181" s="37"/>
      <c r="M181" s="37"/>
      <c r="N181" s="37"/>
      <c r="O181" s="37"/>
      <c r="P181" s="37"/>
      <c r="Q181" s="37"/>
      <c r="R181" s="37"/>
      <c r="S181" s="37"/>
      <c r="T181" s="37"/>
      <c r="U181" s="37"/>
      <c r="V181" s="37"/>
      <c r="W181" s="37"/>
      <c r="X181" s="37"/>
      <c r="Y181" s="37"/>
      <c r="Z181" s="37"/>
      <c r="AA181" s="37"/>
      <c r="AB181" s="37"/>
      <c r="AC181" s="37"/>
      <c r="AD181" s="37"/>
      <c r="AE181" s="37"/>
    </row>
    <row r="182" spans="1:31" x14ac:dyDescent="0.25">
      <c r="A182" s="37"/>
      <c r="B182" s="37"/>
      <c r="C182" s="37"/>
      <c r="D182" s="37"/>
      <c r="E182" s="37"/>
      <c r="F182" s="37"/>
      <c r="G182" s="37"/>
      <c r="H182" s="37"/>
      <c r="I182" s="37"/>
      <c r="J182" s="37"/>
      <c r="K182" s="37"/>
      <c r="L182" s="37"/>
      <c r="M182" s="37"/>
      <c r="N182" s="37"/>
      <c r="O182" s="37"/>
      <c r="P182" s="37"/>
      <c r="Q182" s="37"/>
      <c r="R182" s="37"/>
      <c r="S182" s="37"/>
      <c r="T182" s="37"/>
      <c r="U182" s="37"/>
      <c r="V182" s="37"/>
      <c r="W182" s="37"/>
      <c r="X182" s="37"/>
      <c r="Y182" s="37"/>
      <c r="Z182" s="37"/>
      <c r="AA182" s="37"/>
      <c r="AB182" s="37"/>
      <c r="AC182" s="37"/>
      <c r="AD182" s="37"/>
      <c r="AE182" s="37"/>
    </row>
    <row r="183" spans="1:31" x14ac:dyDescent="0.25">
      <c r="A183" s="37"/>
      <c r="B183" s="37"/>
      <c r="C183" s="37"/>
      <c r="D183" s="37"/>
      <c r="E183" s="37"/>
      <c r="F183" s="37"/>
      <c r="G183" s="37"/>
      <c r="H183" s="37"/>
      <c r="I183" s="37"/>
      <c r="J183" s="37"/>
      <c r="K183" s="37"/>
      <c r="L183" s="37"/>
      <c r="M183" s="37"/>
      <c r="N183" s="37"/>
      <c r="O183" s="37"/>
      <c r="P183" s="37"/>
      <c r="Q183" s="37"/>
      <c r="R183" s="37"/>
      <c r="S183" s="37"/>
      <c r="T183" s="37"/>
      <c r="U183" s="37"/>
      <c r="V183" s="37"/>
      <c r="W183" s="37"/>
      <c r="X183" s="37"/>
      <c r="Y183" s="37"/>
      <c r="Z183" s="37"/>
      <c r="AA183" s="37"/>
      <c r="AB183" s="37"/>
      <c r="AC183" s="37"/>
      <c r="AD183" s="37"/>
      <c r="AE183" s="37"/>
    </row>
    <row r="184" spans="1:31" x14ac:dyDescent="0.25">
      <c r="A184" s="37"/>
      <c r="B184" s="37"/>
      <c r="C184" s="37"/>
      <c r="D184" s="37"/>
      <c r="E184" s="37"/>
      <c r="F184" s="37"/>
      <c r="G184" s="37"/>
      <c r="H184" s="37"/>
      <c r="I184" s="37"/>
      <c r="J184" s="37"/>
      <c r="K184" s="37"/>
      <c r="L184" s="37"/>
      <c r="M184" s="37"/>
      <c r="N184" s="37"/>
      <c r="O184" s="37"/>
      <c r="P184" s="37"/>
      <c r="Q184" s="37"/>
      <c r="R184" s="37"/>
      <c r="S184" s="37"/>
      <c r="T184" s="37"/>
      <c r="U184" s="37"/>
      <c r="V184" s="37"/>
      <c r="W184" s="37"/>
      <c r="X184" s="37"/>
      <c r="Y184" s="37"/>
      <c r="Z184" s="37"/>
      <c r="AA184" s="37"/>
      <c r="AB184" s="37"/>
      <c r="AC184" s="37"/>
      <c r="AD184" s="37"/>
      <c r="AE184" s="37"/>
    </row>
    <row r="185" spans="1:31" x14ac:dyDescent="0.25">
      <c r="A185" s="37"/>
      <c r="B185" s="37"/>
      <c r="C185" s="37"/>
      <c r="D185" s="37"/>
      <c r="E185" s="37"/>
      <c r="F185" s="37"/>
      <c r="G185" s="37"/>
      <c r="H185" s="37"/>
      <c r="I185" s="37"/>
      <c r="J185" s="37"/>
      <c r="K185" s="37"/>
      <c r="L185" s="37"/>
      <c r="M185" s="37"/>
      <c r="N185" s="37"/>
      <c r="O185" s="37"/>
      <c r="P185" s="37"/>
      <c r="Q185" s="37"/>
      <c r="R185" s="37"/>
      <c r="S185" s="37"/>
      <c r="T185" s="37"/>
      <c r="U185" s="37"/>
      <c r="V185" s="37"/>
      <c r="W185" s="37"/>
      <c r="X185" s="37"/>
      <c r="Y185" s="37"/>
      <c r="Z185" s="37"/>
      <c r="AA185" s="37"/>
      <c r="AB185" s="37"/>
      <c r="AC185" s="37"/>
      <c r="AD185" s="37"/>
      <c r="AE185" s="37"/>
    </row>
    <row r="186" spans="1:31" x14ac:dyDescent="0.25">
      <c r="A186" s="37"/>
      <c r="B186" s="37"/>
      <c r="C186" s="37"/>
      <c r="D186" s="37"/>
      <c r="E186" s="37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  <c r="Q186" s="37"/>
      <c r="R186" s="37"/>
      <c r="S186" s="37"/>
      <c r="T186" s="37"/>
      <c r="U186" s="37"/>
      <c r="V186" s="37"/>
      <c r="W186" s="37"/>
      <c r="X186" s="37"/>
      <c r="Y186" s="37"/>
      <c r="Z186" s="37"/>
      <c r="AA186" s="37"/>
      <c r="AB186" s="37"/>
      <c r="AC186" s="37"/>
      <c r="AD186" s="37"/>
      <c r="AE186" s="37"/>
    </row>
    <row r="187" spans="1:31" x14ac:dyDescent="0.25">
      <c r="A187" s="37"/>
      <c r="B187" s="37"/>
      <c r="C187" s="37"/>
      <c r="D187" s="37"/>
      <c r="E187" s="37"/>
      <c r="F187" s="37"/>
      <c r="G187" s="37"/>
      <c r="H187" s="37"/>
      <c r="I187" s="37"/>
      <c r="J187" s="37"/>
      <c r="K187" s="37"/>
      <c r="L187" s="37"/>
      <c r="M187" s="37"/>
      <c r="N187" s="37"/>
      <c r="O187" s="37"/>
      <c r="P187" s="37"/>
      <c r="Q187" s="37"/>
      <c r="R187" s="37"/>
      <c r="S187" s="37"/>
      <c r="T187" s="37"/>
      <c r="U187" s="37"/>
      <c r="V187" s="37"/>
      <c r="W187" s="37"/>
      <c r="X187" s="37"/>
      <c r="Y187" s="37"/>
      <c r="Z187" s="37"/>
      <c r="AA187" s="37"/>
      <c r="AB187" s="37"/>
      <c r="AC187" s="37"/>
      <c r="AD187" s="37"/>
      <c r="AE187" s="37"/>
    </row>
    <row r="188" spans="1:31" x14ac:dyDescent="0.25">
      <c r="A188" s="37"/>
      <c r="B188" s="37"/>
      <c r="C188" s="37"/>
      <c r="D188" s="37"/>
      <c r="E188" s="37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7"/>
      <c r="Q188" s="37"/>
      <c r="R188" s="37"/>
      <c r="S188" s="37"/>
      <c r="T188" s="37"/>
      <c r="U188" s="37"/>
      <c r="V188" s="37"/>
      <c r="W188" s="37"/>
      <c r="X188" s="37"/>
      <c r="Y188" s="37"/>
      <c r="Z188" s="37"/>
      <c r="AA188" s="37"/>
      <c r="AB188" s="37"/>
      <c r="AC188" s="37"/>
      <c r="AD188" s="37"/>
      <c r="AE188" s="37"/>
    </row>
    <row r="189" spans="1:31" x14ac:dyDescent="0.25">
      <c r="A189" s="37"/>
      <c r="B189" s="37"/>
      <c r="C189" s="37"/>
      <c r="D189" s="37"/>
      <c r="E189" s="37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7"/>
      <c r="Q189" s="37"/>
      <c r="R189" s="37"/>
      <c r="S189" s="37"/>
      <c r="T189" s="37"/>
      <c r="U189" s="37"/>
      <c r="V189" s="37"/>
      <c r="W189" s="37"/>
      <c r="X189" s="37"/>
      <c r="Y189" s="37"/>
      <c r="Z189" s="37"/>
      <c r="AA189" s="37"/>
      <c r="AB189" s="37"/>
      <c r="AC189" s="37"/>
      <c r="AD189" s="37"/>
      <c r="AE189" s="37"/>
    </row>
    <row r="190" spans="1:31" x14ac:dyDescent="0.25">
      <c r="A190" s="37"/>
      <c r="B190" s="37"/>
      <c r="C190" s="37"/>
      <c r="D190" s="37"/>
      <c r="E190" s="37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7"/>
      <c r="Q190" s="37"/>
      <c r="R190" s="37"/>
      <c r="S190" s="37"/>
      <c r="T190" s="37"/>
      <c r="U190" s="37"/>
      <c r="V190" s="37"/>
      <c r="W190" s="37"/>
      <c r="X190" s="37"/>
      <c r="Y190" s="37"/>
      <c r="Z190" s="37"/>
      <c r="AA190" s="37"/>
      <c r="AB190" s="37"/>
      <c r="AC190" s="37"/>
      <c r="AD190" s="37"/>
      <c r="AE190" s="37"/>
    </row>
    <row r="191" spans="1:31" x14ac:dyDescent="0.25">
      <c r="A191" s="37"/>
      <c r="B191" s="37"/>
      <c r="C191" s="37"/>
      <c r="D191" s="37"/>
      <c r="E191" s="37"/>
      <c r="F191" s="37"/>
      <c r="G191" s="37"/>
      <c r="H191" s="37"/>
      <c r="I191" s="37"/>
      <c r="J191" s="37"/>
      <c r="K191" s="37"/>
      <c r="L191" s="37"/>
      <c r="M191" s="37"/>
      <c r="N191" s="37"/>
      <c r="O191" s="37"/>
      <c r="P191" s="37"/>
      <c r="Q191" s="37"/>
      <c r="R191" s="37"/>
      <c r="S191" s="37"/>
      <c r="T191" s="37"/>
      <c r="U191" s="37"/>
      <c r="V191" s="37"/>
      <c r="W191" s="37"/>
      <c r="X191" s="37"/>
      <c r="Y191" s="37"/>
      <c r="Z191" s="37"/>
      <c r="AA191" s="37"/>
      <c r="AB191" s="37"/>
      <c r="AC191" s="37"/>
      <c r="AD191" s="37"/>
      <c r="AE191" s="37"/>
    </row>
    <row r="192" spans="1:31" x14ac:dyDescent="0.25">
      <c r="A192" s="37"/>
      <c r="B192" s="37"/>
      <c r="C192" s="37"/>
      <c r="D192" s="37"/>
      <c r="E192" s="37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7"/>
      <c r="Q192" s="37"/>
      <c r="R192" s="37"/>
      <c r="S192" s="37"/>
      <c r="T192" s="37"/>
      <c r="U192" s="37"/>
      <c r="V192" s="37"/>
      <c r="W192" s="37"/>
      <c r="X192" s="37"/>
      <c r="Y192" s="37"/>
      <c r="Z192" s="37"/>
      <c r="AA192" s="37"/>
      <c r="AB192" s="37"/>
      <c r="AC192" s="37"/>
      <c r="AD192" s="37"/>
      <c r="AE192" s="37"/>
    </row>
    <row r="193" spans="1:31" x14ac:dyDescent="0.25">
      <c r="A193" s="37"/>
      <c r="B193" s="37"/>
      <c r="C193" s="37"/>
      <c r="D193" s="37"/>
      <c r="E193" s="37"/>
      <c r="F193" s="37"/>
      <c r="G193" s="37"/>
      <c r="H193" s="37"/>
      <c r="I193" s="37"/>
      <c r="J193" s="37"/>
      <c r="K193" s="37"/>
      <c r="L193" s="37"/>
      <c r="M193" s="37"/>
      <c r="N193" s="37"/>
      <c r="O193" s="37"/>
      <c r="P193" s="37"/>
      <c r="Q193" s="37"/>
      <c r="R193" s="37"/>
      <c r="S193" s="37"/>
      <c r="T193" s="37"/>
      <c r="U193" s="37"/>
      <c r="V193" s="37"/>
      <c r="W193" s="37"/>
      <c r="X193" s="37"/>
      <c r="Y193" s="37"/>
      <c r="Z193" s="37"/>
      <c r="AA193" s="37"/>
      <c r="AB193" s="37"/>
      <c r="AC193" s="37"/>
      <c r="AD193" s="37"/>
      <c r="AE193" s="37"/>
    </row>
    <row r="194" spans="1:31" x14ac:dyDescent="0.25">
      <c r="A194" s="37"/>
      <c r="B194" s="37"/>
      <c r="C194" s="37"/>
      <c r="D194" s="37"/>
      <c r="E194" s="37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  <c r="Q194" s="37"/>
      <c r="R194" s="37"/>
      <c r="S194" s="37"/>
      <c r="T194" s="37"/>
      <c r="U194" s="37"/>
      <c r="V194" s="37"/>
      <c r="W194" s="37"/>
      <c r="X194" s="37"/>
      <c r="Y194" s="37"/>
      <c r="Z194" s="37"/>
      <c r="AA194" s="37"/>
      <c r="AB194" s="37"/>
      <c r="AC194" s="37"/>
      <c r="AD194" s="37"/>
      <c r="AE194" s="37"/>
    </row>
    <row r="195" spans="1:31" x14ac:dyDescent="0.25">
      <c r="A195" s="37"/>
      <c r="B195" s="37"/>
      <c r="C195" s="37"/>
      <c r="D195" s="37"/>
      <c r="E195" s="37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7"/>
      <c r="Q195" s="37"/>
      <c r="R195" s="37"/>
      <c r="S195" s="37"/>
      <c r="T195" s="37"/>
      <c r="U195" s="37"/>
      <c r="V195" s="37"/>
      <c r="W195" s="37"/>
      <c r="X195" s="37"/>
      <c r="Y195" s="37"/>
      <c r="Z195" s="37"/>
      <c r="AA195" s="37"/>
      <c r="AB195" s="37"/>
      <c r="AC195" s="37"/>
      <c r="AD195" s="37"/>
      <c r="AE195" s="37"/>
    </row>
    <row r="196" spans="1:31" x14ac:dyDescent="0.25">
      <c r="A196" s="37"/>
      <c r="B196" s="37"/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  <c r="R196" s="37"/>
      <c r="S196" s="37"/>
      <c r="T196" s="37"/>
      <c r="U196" s="37"/>
      <c r="V196" s="37"/>
      <c r="W196" s="37"/>
      <c r="X196" s="37"/>
      <c r="Y196" s="37"/>
      <c r="Z196" s="37"/>
      <c r="AA196" s="37"/>
      <c r="AB196" s="37"/>
      <c r="AC196" s="37"/>
      <c r="AD196" s="37"/>
      <c r="AE196" s="37"/>
    </row>
    <row r="197" spans="1:31" x14ac:dyDescent="0.25">
      <c r="A197" s="37"/>
      <c r="B197" s="37"/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7"/>
      <c r="R197" s="37"/>
      <c r="S197" s="37"/>
      <c r="T197" s="37"/>
      <c r="U197" s="37"/>
      <c r="V197" s="37"/>
      <c r="W197" s="37"/>
      <c r="X197" s="37"/>
      <c r="Y197" s="37"/>
      <c r="Z197" s="37"/>
      <c r="AA197" s="37"/>
      <c r="AB197" s="37"/>
      <c r="AC197" s="37"/>
      <c r="AD197" s="37"/>
      <c r="AE197" s="37"/>
    </row>
    <row r="198" spans="1:31" x14ac:dyDescent="0.25">
      <c r="A198" s="37"/>
      <c r="B198" s="37"/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  <c r="Q198" s="37"/>
      <c r="R198" s="37"/>
      <c r="S198" s="37"/>
      <c r="T198" s="37"/>
      <c r="U198" s="37"/>
      <c r="V198" s="37"/>
      <c r="W198" s="37"/>
      <c r="X198" s="37"/>
      <c r="Y198" s="37"/>
      <c r="Z198" s="37"/>
      <c r="AA198" s="37"/>
      <c r="AB198" s="37"/>
      <c r="AC198" s="37"/>
      <c r="AD198" s="37"/>
      <c r="AE198" s="37"/>
    </row>
    <row r="199" spans="1:31" x14ac:dyDescent="0.25">
      <c r="A199" s="37"/>
      <c r="B199" s="37"/>
      <c r="C199" s="37"/>
      <c r="D199" s="37"/>
      <c r="E199" s="37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  <c r="Q199" s="37"/>
      <c r="R199" s="37"/>
      <c r="S199" s="37"/>
      <c r="T199" s="37"/>
      <c r="U199" s="37"/>
      <c r="V199" s="37"/>
      <c r="W199" s="37"/>
      <c r="X199" s="37"/>
      <c r="Y199" s="37"/>
      <c r="Z199" s="37"/>
      <c r="AA199" s="37"/>
      <c r="AB199" s="37"/>
      <c r="AC199" s="37"/>
      <c r="AD199" s="37"/>
      <c r="AE199" s="37"/>
    </row>
    <row r="200" spans="1:31" x14ac:dyDescent="0.25">
      <c r="A200" s="37"/>
      <c r="B200" s="37"/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  <c r="Q200" s="37"/>
      <c r="R200" s="37"/>
      <c r="S200" s="37"/>
      <c r="T200" s="37"/>
      <c r="U200" s="37"/>
      <c r="V200" s="37"/>
      <c r="W200" s="37"/>
      <c r="X200" s="37"/>
      <c r="Y200" s="37"/>
      <c r="Z200" s="37"/>
      <c r="AA200" s="37"/>
      <c r="AB200" s="37"/>
      <c r="AC200" s="37"/>
      <c r="AD200" s="37"/>
      <c r="AE200" s="37"/>
    </row>
    <row r="201" spans="1:31" x14ac:dyDescent="0.25">
      <c r="A201" s="37"/>
      <c r="B201" s="37"/>
      <c r="C201" s="37"/>
      <c r="D201" s="37"/>
      <c r="E201" s="37"/>
      <c r="F201" s="37"/>
      <c r="G201" s="37"/>
      <c r="H201" s="37"/>
      <c r="I201" s="37"/>
      <c r="J201" s="37"/>
      <c r="K201" s="37"/>
      <c r="L201" s="37"/>
      <c r="M201" s="37"/>
      <c r="N201" s="37"/>
      <c r="O201" s="37"/>
      <c r="P201" s="37"/>
      <c r="Q201" s="37"/>
      <c r="R201" s="37"/>
      <c r="S201" s="37"/>
      <c r="T201" s="37"/>
      <c r="U201" s="37"/>
      <c r="V201" s="37"/>
      <c r="W201" s="37"/>
      <c r="X201" s="37"/>
      <c r="Y201" s="37"/>
      <c r="Z201" s="37"/>
      <c r="AA201" s="37"/>
      <c r="AB201" s="37"/>
      <c r="AC201" s="37"/>
      <c r="AD201" s="37"/>
      <c r="AE201" s="37"/>
    </row>
    <row r="202" spans="1:31" x14ac:dyDescent="0.25">
      <c r="A202" s="37"/>
      <c r="B202" s="37"/>
      <c r="C202" s="37"/>
      <c r="D202" s="37"/>
      <c r="E202" s="37"/>
      <c r="F202" s="37"/>
      <c r="G202" s="37"/>
      <c r="H202" s="37"/>
      <c r="I202" s="37"/>
      <c r="J202" s="37"/>
      <c r="K202" s="37"/>
      <c r="L202" s="37"/>
      <c r="M202" s="37"/>
      <c r="N202" s="37"/>
      <c r="O202" s="37"/>
      <c r="P202" s="37"/>
      <c r="Q202" s="37"/>
      <c r="R202" s="37"/>
      <c r="S202" s="37"/>
      <c r="T202" s="37"/>
      <c r="U202" s="37"/>
      <c r="V202" s="37"/>
      <c r="W202" s="37"/>
      <c r="X202" s="37"/>
      <c r="Y202" s="37"/>
      <c r="Z202" s="37"/>
      <c r="AA202" s="37"/>
      <c r="AB202" s="37"/>
      <c r="AC202" s="37"/>
      <c r="AD202" s="37"/>
      <c r="AE202" s="37"/>
    </row>
    <row r="203" spans="1:31" x14ac:dyDescent="0.25">
      <c r="A203" s="37"/>
      <c r="B203" s="37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  <c r="Q203" s="37"/>
      <c r="R203" s="37"/>
      <c r="S203" s="37"/>
      <c r="T203" s="37"/>
      <c r="U203" s="37"/>
      <c r="V203" s="37"/>
      <c r="W203" s="37"/>
      <c r="X203" s="37"/>
      <c r="Y203" s="37"/>
      <c r="Z203" s="37"/>
      <c r="AA203" s="37"/>
      <c r="AB203" s="37"/>
      <c r="AC203" s="37"/>
      <c r="AD203" s="37"/>
      <c r="AE203" s="37"/>
    </row>
    <row r="204" spans="1:31" x14ac:dyDescent="0.25">
      <c r="A204" s="37"/>
      <c r="B204" s="37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7"/>
      <c r="AA204" s="37"/>
      <c r="AB204" s="37"/>
      <c r="AC204" s="37"/>
      <c r="AD204" s="37"/>
      <c r="AE204" s="37"/>
    </row>
    <row r="205" spans="1:31" x14ac:dyDescent="0.25">
      <c r="A205" s="37"/>
      <c r="B205" s="37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  <c r="Q205" s="37"/>
      <c r="R205" s="37"/>
      <c r="S205" s="37"/>
      <c r="T205" s="37"/>
      <c r="U205" s="37"/>
      <c r="V205" s="37"/>
      <c r="W205" s="37"/>
      <c r="X205" s="37"/>
      <c r="Y205" s="37"/>
      <c r="Z205" s="37"/>
      <c r="AA205" s="37"/>
      <c r="AB205" s="37"/>
      <c r="AC205" s="37"/>
      <c r="AD205" s="37"/>
      <c r="AE205" s="37"/>
    </row>
    <row r="206" spans="1:31" x14ac:dyDescent="0.25">
      <c r="A206" s="37"/>
      <c r="B206" s="37"/>
      <c r="C206" s="37"/>
      <c r="D206" s="37"/>
      <c r="E206" s="37"/>
      <c r="F206" s="37"/>
      <c r="G206" s="37"/>
      <c r="H206" s="37"/>
      <c r="I206" s="37"/>
      <c r="J206" s="37"/>
      <c r="K206" s="37"/>
      <c r="L206" s="37"/>
      <c r="M206" s="37"/>
      <c r="N206" s="37"/>
      <c r="O206" s="37"/>
      <c r="P206" s="37"/>
      <c r="Q206" s="37"/>
      <c r="R206" s="37"/>
      <c r="S206" s="37"/>
      <c r="T206" s="37"/>
      <c r="U206" s="37"/>
      <c r="V206" s="37"/>
      <c r="W206" s="37"/>
      <c r="X206" s="37"/>
      <c r="Y206" s="37"/>
      <c r="Z206" s="37"/>
      <c r="AA206" s="37"/>
      <c r="AB206" s="37"/>
      <c r="AC206" s="37"/>
      <c r="AD206" s="37"/>
      <c r="AE206" s="37"/>
    </row>
    <row r="207" spans="1:31" x14ac:dyDescent="0.25">
      <c r="A207" s="37"/>
      <c r="B207" s="37"/>
      <c r="C207" s="37"/>
      <c r="D207" s="37"/>
      <c r="E207" s="37"/>
      <c r="F207" s="37"/>
      <c r="G207" s="37"/>
      <c r="H207" s="37"/>
      <c r="I207" s="37"/>
      <c r="J207" s="37"/>
      <c r="K207" s="37"/>
      <c r="L207" s="37"/>
      <c r="M207" s="37"/>
      <c r="N207" s="37"/>
      <c r="O207" s="37"/>
      <c r="P207" s="37"/>
      <c r="Q207" s="37"/>
      <c r="R207" s="37"/>
      <c r="S207" s="37"/>
      <c r="T207" s="37"/>
      <c r="U207" s="37"/>
      <c r="V207" s="37"/>
      <c r="W207" s="37"/>
      <c r="X207" s="37"/>
      <c r="Y207" s="37"/>
      <c r="Z207" s="37"/>
      <c r="AA207" s="37"/>
      <c r="AB207" s="37"/>
      <c r="AC207" s="37"/>
      <c r="AD207" s="37"/>
      <c r="AE207" s="37"/>
    </row>
    <row r="208" spans="1:31" x14ac:dyDescent="0.25">
      <c r="A208" s="37"/>
      <c r="B208" s="37"/>
      <c r="C208" s="37"/>
      <c r="D208" s="37"/>
      <c r="E208" s="37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  <c r="Q208" s="37"/>
      <c r="R208" s="37"/>
      <c r="S208" s="37"/>
      <c r="T208" s="37"/>
      <c r="U208" s="37"/>
      <c r="V208" s="37"/>
      <c r="W208" s="37"/>
      <c r="X208" s="37"/>
      <c r="Y208" s="37"/>
      <c r="Z208" s="37"/>
      <c r="AA208" s="37"/>
      <c r="AB208" s="37"/>
      <c r="AC208" s="37"/>
      <c r="AD208" s="37"/>
      <c r="AE208" s="37"/>
    </row>
    <row r="209" spans="1:31" x14ac:dyDescent="0.25">
      <c r="A209" s="37"/>
      <c r="B209" s="37"/>
      <c r="C209" s="37"/>
      <c r="D209" s="37"/>
      <c r="E209" s="37"/>
      <c r="F209" s="37"/>
      <c r="G209" s="37"/>
      <c r="H209" s="37"/>
      <c r="I209" s="37"/>
      <c r="J209" s="37"/>
      <c r="K209" s="37"/>
      <c r="L209" s="37"/>
      <c r="M209" s="37"/>
      <c r="N209" s="37"/>
      <c r="O209" s="37"/>
      <c r="P209" s="37"/>
      <c r="Q209" s="37"/>
      <c r="R209" s="37"/>
      <c r="S209" s="37"/>
      <c r="T209" s="37"/>
      <c r="U209" s="37"/>
      <c r="V209" s="37"/>
      <c r="W209" s="37"/>
      <c r="X209" s="37"/>
      <c r="Y209" s="37"/>
      <c r="Z209" s="37"/>
      <c r="AA209" s="37"/>
      <c r="AB209" s="37"/>
      <c r="AC209" s="37"/>
      <c r="AD209" s="37"/>
      <c r="AE209" s="37"/>
    </row>
    <row r="210" spans="1:31" x14ac:dyDescent="0.25">
      <c r="A210" s="37"/>
      <c r="B210" s="37"/>
      <c r="C210" s="37"/>
      <c r="D210" s="37"/>
      <c r="E210" s="37"/>
      <c r="F210" s="37"/>
      <c r="G210" s="37"/>
      <c r="H210" s="37"/>
      <c r="I210" s="37"/>
      <c r="J210" s="37"/>
      <c r="K210" s="37"/>
      <c r="L210" s="37"/>
      <c r="M210" s="37"/>
      <c r="N210" s="37"/>
      <c r="O210" s="37"/>
      <c r="P210" s="37"/>
      <c r="Q210" s="37"/>
      <c r="R210" s="37"/>
      <c r="S210" s="37"/>
      <c r="T210" s="37"/>
      <c r="U210" s="37"/>
      <c r="V210" s="37"/>
      <c r="W210" s="37"/>
      <c r="X210" s="37"/>
      <c r="Y210" s="37"/>
      <c r="Z210" s="37"/>
      <c r="AA210" s="37"/>
      <c r="AB210" s="37"/>
      <c r="AC210" s="37"/>
      <c r="AD210" s="37"/>
      <c r="AE210" s="37"/>
    </row>
    <row r="211" spans="1:31" x14ac:dyDescent="0.25">
      <c r="A211" s="37"/>
      <c r="B211" s="37"/>
      <c r="C211" s="37"/>
      <c r="D211" s="37"/>
      <c r="E211" s="37"/>
      <c r="F211" s="37"/>
      <c r="G211" s="37"/>
      <c r="H211" s="37"/>
      <c r="I211" s="37"/>
      <c r="J211" s="37"/>
      <c r="K211" s="37"/>
      <c r="L211" s="37"/>
      <c r="M211" s="37"/>
      <c r="N211" s="37"/>
      <c r="O211" s="37"/>
      <c r="P211" s="37"/>
      <c r="Q211" s="37"/>
      <c r="R211" s="37"/>
      <c r="S211" s="37"/>
      <c r="T211" s="37"/>
      <c r="U211" s="37"/>
      <c r="V211" s="37"/>
      <c r="W211" s="37"/>
      <c r="X211" s="37"/>
      <c r="Y211" s="37"/>
      <c r="Z211" s="37"/>
      <c r="AA211" s="37"/>
      <c r="AB211" s="37"/>
      <c r="AC211" s="37"/>
      <c r="AD211" s="37"/>
      <c r="AE211" s="37"/>
    </row>
    <row r="212" spans="1:31" x14ac:dyDescent="0.25">
      <c r="A212" s="37"/>
      <c r="B212" s="37"/>
      <c r="C212" s="37"/>
      <c r="D212" s="37"/>
      <c r="E212" s="37"/>
      <c r="F212" s="37"/>
      <c r="G212" s="37"/>
      <c r="H212" s="37"/>
      <c r="I212" s="37"/>
      <c r="J212" s="37"/>
      <c r="K212" s="37"/>
      <c r="L212" s="37"/>
      <c r="M212" s="37"/>
      <c r="N212" s="37"/>
      <c r="O212" s="37"/>
      <c r="P212" s="37"/>
      <c r="Q212" s="37"/>
      <c r="R212" s="37"/>
      <c r="S212" s="37"/>
      <c r="T212" s="37"/>
      <c r="U212" s="37"/>
      <c r="V212" s="37"/>
      <c r="W212" s="37"/>
      <c r="X212" s="37"/>
      <c r="Y212" s="37"/>
      <c r="Z212" s="37"/>
      <c r="AA212" s="37"/>
      <c r="AB212" s="37"/>
      <c r="AC212" s="37"/>
      <c r="AD212" s="37"/>
      <c r="AE212" s="37"/>
    </row>
    <row r="213" spans="1:31" x14ac:dyDescent="0.25">
      <c r="A213" s="37"/>
      <c r="B213" s="37"/>
      <c r="C213" s="37"/>
      <c r="D213" s="37"/>
      <c r="E213" s="37"/>
      <c r="F213" s="37"/>
      <c r="G213" s="37"/>
      <c r="H213" s="37"/>
      <c r="I213" s="37"/>
      <c r="J213" s="37"/>
      <c r="K213" s="37"/>
      <c r="L213" s="37"/>
      <c r="M213" s="37"/>
      <c r="N213" s="37"/>
      <c r="O213" s="37"/>
      <c r="P213" s="37"/>
      <c r="Q213" s="37"/>
      <c r="R213" s="37"/>
      <c r="S213" s="37"/>
      <c r="T213" s="37"/>
      <c r="U213" s="37"/>
      <c r="V213" s="37"/>
      <c r="W213" s="37"/>
      <c r="X213" s="37"/>
      <c r="Y213" s="37"/>
      <c r="Z213" s="37"/>
      <c r="AA213" s="37"/>
      <c r="AB213" s="37"/>
      <c r="AC213" s="37"/>
      <c r="AD213" s="37"/>
      <c r="AE213" s="37"/>
    </row>
    <row r="214" spans="1:31" x14ac:dyDescent="0.25">
      <c r="A214" s="37"/>
      <c r="B214" s="37"/>
      <c r="C214" s="37"/>
      <c r="D214" s="37"/>
      <c r="E214" s="37"/>
      <c r="F214" s="37"/>
      <c r="G214" s="37"/>
      <c r="H214" s="37"/>
      <c r="I214" s="37"/>
      <c r="J214" s="37"/>
      <c r="K214" s="37"/>
      <c r="L214" s="37"/>
      <c r="M214" s="37"/>
      <c r="N214" s="37"/>
      <c r="O214" s="37"/>
      <c r="P214" s="37"/>
      <c r="Q214" s="37"/>
      <c r="R214" s="37"/>
      <c r="S214" s="37"/>
      <c r="T214" s="37"/>
      <c r="U214" s="37"/>
      <c r="V214" s="37"/>
      <c r="W214" s="37"/>
      <c r="X214" s="37"/>
      <c r="Y214" s="37"/>
      <c r="Z214" s="37"/>
      <c r="AA214" s="37"/>
      <c r="AB214" s="37"/>
      <c r="AC214" s="37"/>
      <c r="AD214" s="37"/>
      <c r="AE214" s="37"/>
    </row>
    <row r="215" spans="1:31" x14ac:dyDescent="0.25">
      <c r="A215" s="37"/>
      <c r="B215" s="37"/>
      <c r="C215" s="37"/>
      <c r="D215" s="37"/>
      <c r="E215" s="37"/>
      <c r="F215" s="37"/>
      <c r="G215" s="37"/>
      <c r="H215" s="37"/>
      <c r="I215" s="37"/>
      <c r="J215" s="37"/>
      <c r="K215" s="37"/>
      <c r="L215" s="37"/>
      <c r="M215" s="37"/>
      <c r="N215" s="37"/>
      <c r="O215" s="37"/>
      <c r="P215" s="37"/>
      <c r="Q215" s="37"/>
      <c r="R215" s="37"/>
      <c r="S215" s="37"/>
      <c r="T215" s="37"/>
      <c r="U215" s="37"/>
      <c r="V215" s="37"/>
      <c r="W215" s="37"/>
      <c r="X215" s="37"/>
      <c r="Y215" s="37"/>
      <c r="Z215" s="37"/>
      <c r="AA215" s="37"/>
      <c r="AB215" s="37"/>
      <c r="AC215" s="37"/>
      <c r="AD215" s="37"/>
      <c r="AE215" s="37"/>
    </row>
    <row r="216" spans="1:31" x14ac:dyDescent="0.25">
      <c r="A216" s="37"/>
      <c r="B216" s="37"/>
      <c r="C216" s="37"/>
      <c r="D216" s="37"/>
      <c r="E216" s="37"/>
      <c r="F216" s="37"/>
      <c r="G216" s="37"/>
      <c r="H216" s="37"/>
      <c r="I216" s="37"/>
      <c r="J216" s="37"/>
      <c r="K216" s="37"/>
      <c r="L216" s="37"/>
      <c r="M216" s="37"/>
      <c r="N216" s="37"/>
      <c r="O216" s="37"/>
      <c r="P216" s="37"/>
      <c r="Q216" s="37"/>
      <c r="R216" s="37"/>
      <c r="S216" s="37"/>
      <c r="T216" s="37"/>
      <c r="U216" s="37"/>
      <c r="V216" s="37"/>
      <c r="W216" s="37"/>
      <c r="X216" s="37"/>
      <c r="Y216" s="37"/>
      <c r="Z216" s="37"/>
      <c r="AA216" s="37"/>
      <c r="AB216" s="37"/>
      <c r="AC216" s="37"/>
      <c r="AD216" s="37"/>
      <c r="AE216" s="37"/>
    </row>
    <row r="217" spans="1:31" x14ac:dyDescent="0.25">
      <c r="A217" s="37"/>
      <c r="B217" s="37"/>
      <c r="C217" s="37"/>
      <c r="D217" s="37"/>
      <c r="E217" s="37"/>
      <c r="F217" s="37"/>
      <c r="G217" s="37"/>
      <c r="H217" s="37"/>
      <c r="I217" s="37"/>
      <c r="J217" s="37"/>
      <c r="K217" s="37"/>
      <c r="L217" s="37"/>
      <c r="M217" s="37"/>
      <c r="N217" s="37"/>
      <c r="O217" s="37"/>
      <c r="P217" s="37"/>
      <c r="Q217" s="37"/>
      <c r="R217" s="37"/>
      <c r="S217" s="37"/>
      <c r="T217" s="37"/>
      <c r="U217" s="37"/>
      <c r="V217" s="37"/>
      <c r="W217" s="37"/>
      <c r="X217" s="37"/>
      <c r="Y217" s="37"/>
      <c r="Z217" s="37"/>
      <c r="AA217" s="37"/>
      <c r="AB217" s="37"/>
      <c r="AC217" s="37"/>
      <c r="AD217" s="37"/>
      <c r="AE217" s="37"/>
    </row>
    <row r="218" spans="1:31" x14ac:dyDescent="0.25">
      <c r="A218" s="37"/>
      <c r="B218" s="37"/>
      <c r="C218" s="37"/>
      <c r="D218" s="37"/>
      <c r="E218" s="37"/>
      <c r="F218" s="37"/>
      <c r="G218" s="37"/>
      <c r="H218" s="37"/>
      <c r="I218" s="37"/>
      <c r="J218" s="37"/>
      <c r="K218" s="37"/>
      <c r="L218" s="37"/>
      <c r="M218" s="37"/>
      <c r="N218" s="37"/>
      <c r="O218" s="37"/>
      <c r="P218" s="37"/>
      <c r="Q218" s="37"/>
      <c r="R218" s="37"/>
      <c r="S218" s="37"/>
      <c r="T218" s="37"/>
      <c r="U218" s="37"/>
      <c r="V218" s="37"/>
      <c r="W218" s="37"/>
      <c r="X218" s="37"/>
      <c r="Y218" s="37"/>
      <c r="Z218" s="37"/>
      <c r="AA218" s="37"/>
      <c r="AB218" s="37"/>
      <c r="AC218" s="37"/>
      <c r="AD218" s="37"/>
      <c r="AE218" s="37"/>
    </row>
    <row r="219" spans="1:31" x14ac:dyDescent="0.25">
      <c r="A219" s="37"/>
      <c r="B219" s="37"/>
      <c r="C219" s="37"/>
      <c r="D219" s="37"/>
      <c r="E219" s="37"/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7"/>
      <c r="Q219" s="37"/>
      <c r="R219" s="37"/>
      <c r="S219" s="37"/>
      <c r="T219" s="37"/>
      <c r="U219" s="37"/>
      <c r="V219" s="37"/>
      <c r="W219" s="37"/>
      <c r="X219" s="37"/>
      <c r="Y219" s="37"/>
      <c r="Z219" s="37"/>
      <c r="AA219" s="37"/>
      <c r="AB219" s="37"/>
      <c r="AC219" s="37"/>
      <c r="AD219" s="37"/>
      <c r="AE219" s="37"/>
    </row>
    <row r="220" spans="1:31" x14ac:dyDescent="0.25">
      <c r="A220" s="37"/>
      <c r="B220" s="37"/>
      <c r="C220" s="37"/>
      <c r="D220" s="37"/>
      <c r="E220" s="37"/>
      <c r="F220" s="37"/>
      <c r="G220" s="37"/>
      <c r="H220" s="37"/>
      <c r="I220" s="37"/>
      <c r="J220" s="37"/>
      <c r="K220" s="37"/>
      <c r="L220" s="37"/>
      <c r="M220" s="37"/>
      <c r="N220" s="37"/>
      <c r="O220" s="37"/>
      <c r="P220" s="37"/>
      <c r="Q220" s="37"/>
      <c r="R220" s="37"/>
      <c r="S220" s="37"/>
      <c r="T220" s="37"/>
      <c r="U220" s="37"/>
      <c r="V220" s="37"/>
      <c r="W220" s="37"/>
      <c r="X220" s="37"/>
      <c r="Y220" s="37"/>
      <c r="Z220" s="37"/>
      <c r="AA220" s="37"/>
      <c r="AB220" s="37"/>
      <c r="AC220" s="37"/>
      <c r="AD220" s="37"/>
      <c r="AE220" s="37"/>
    </row>
    <row r="221" spans="1:31" x14ac:dyDescent="0.25">
      <c r="A221" s="37"/>
      <c r="B221" s="37"/>
      <c r="C221" s="37"/>
      <c r="D221" s="37"/>
      <c r="E221" s="37"/>
      <c r="F221" s="37"/>
      <c r="G221" s="37"/>
      <c r="H221" s="37"/>
      <c r="I221" s="37"/>
      <c r="J221" s="37"/>
      <c r="K221" s="37"/>
      <c r="L221" s="37"/>
      <c r="M221" s="37"/>
      <c r="N221" s="37"/>
      <c r="O221" s="37"/>
      <c r="P221" s="37"/>
      <c r="Q221" s="37"/>
      <c r="R221" s="37"/>
      <c r="S221" s="37"/>
      <c r="T221" s="37"/>
      <c r="U221" s="37"/>
      <c r="V221" s="37"/>
      <c r="W221" s="37"/>
      <c r="X221" s="37"/>
      <c r="Y221" s="37"/>
      <c r="Z221" s="37"/>
      <c r="AA221" s="37"/>
      <c r="AB221" s="37"/>
      <c r="AC221" s="37"/>
      <c r="AD221" s="37"/>
      <c r="AE221" s="37"/>
    </row>
    <row r="222" spans="1:31" x14ac:dyDescent="0.25">
      <c r="A222" s="37"/>
      <c r="B222" s="37"/>
      <c r="C222" s="37"/>
      <c r="D222" s="37"/>
      <c r="E222" s="37"/>
      <c r="F222" s="37"/>
      <c r="G222" s="37"/>
      <c r="H222" s="37"/>
      <c r="I222" s="37"/>
      <c r="J222" s="37"/>
      <c r="K222" s="37"/>
      <c r="L222" s="37"/>
      <c r="M222" s="37"/>
      <c r="N222" s="37"/>
      <c r="O222" s="37"/>
      <c r="P222" s="37"/>
      <c r="Q222" s="37"/>
      <c r="R222" s="37"/>
      <c r="S222" s="37"/>
      <c r="T222" s="37"/>
      <c r="U222" s="37"/>
      <c r="V222" s="37"/>
      <c r="W222" s="37"/>
      <c r="X222" s="37"/>
      <c r="Y222" s="37"/>
      <c r="Z222" s="37"/>
      <c r="AA222" s="37"/>
      <c r="AB222" s="37"/>
      <c r="AC222" s="37"/>
      <c r="AD222" s="37"/>
      <c r="AE222" s="37"/>
    </row>
    <row r="223" spans="1:31" x14ac:dyDescent="0.25">
      <c r="A223" s="37"/>
      <c r="B223" s="37"/>
      <c r="C223" s="37"/>
      <c r="D223" s="37"/>
      <c r="E223" s="37"/>
      <c r="F223" s="37"/>
      <c r="G223" s="37"/>
      <c r="H223" s="37"/>
      <c r="I223" s="37"/>
      <c r="J223" s="37"/>
      <c r="K223" s="37"/>
      <c r="L223" s="37"/>
      <c r="M223" s="37"/>
      <c r="N223" s="37"/>
      <c r="O223" s="37"/>
      <c r="P223" s="37"/>
      <c r="Q223" s="37"/>
      <c r="R223" s="37"/>
      <c r="S223" s="37"/>
      <c r="T223" s="37"/>
      <c r="U223" s="37"/>
      <c r="V223" s="37"/>
      <c r="W223" s="37"/>
      <c r="X223" s="37"/>
      <c r="Y223" s="37"/>
      <c r="Z223" s="37"/>
      <c r="AA223" s="37"/>
      <c r="AB223" s="37"/>
      <c r="AC223" s="37"/>
      <c r="AD223" s="37"/>
      <c r="AE223" s="37"/>
    </row>
    <row r="224" spans="1:31" x14ac:dyDescent="0.25">
      <c r="A224" s="37"/>
      <c r="B224" s="37"/>
      <c r="C224" s="37"/>
      <c r="D224" s="37"/>
      <c r="E224" s="37"/>
      <c r="F224" s="37"/>
      <c r="G224" s="37"/>
      <c r="H224" s="37"/>
      <c r="I224" s="37"/>
      <c r="J224" s="37"/>
      <c r="K224" s="37"/>
      <c r="L224" s="37"/>
      <c r="M224" s="37"/>
      <c r="N224" s="37"/>
      <c r="O224" s="37"/>
      <c r="P224" s="37"/>
      <c r="Q224" s="37"/>
      <c r="R224" s="37"/>
      <c r="S224" s="37"/>
      <c r="T224" s="37"/>
      <c r="U224" s="37"/>
      <c r="V224" s="37"/>
      <c r="W224" s="37"/>
      <c r="X224" s="37"/>
      <c r="Y224" s="37"/>
      <c r="Z224" s="37"/>
      <c r="AA224" s="37"/>
      <c r="AB224" s="37"/>
      <c r="AC224" s="37"/>
      <c r="AD224" s="37"/>
      <c r="AE224" s="37"/>
    </row>
    <row r="225" spans="1:31" x14ac:dyDescent="0.25">
      <c r="A225" s="37"/>
      <c r="B225" s="37"/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  <c r="P225" s="37"/>
      <c r="Q225" s="37"/>
      <c r="R225" s="37"/>
      <c r="S225" s="37"/>
      <c r="T225" s="37"/>
      <c r="U225" s="37"/>
      <c r="V225" s="37"/>
      <c r="W225" s="37"/>
      <c r="X225" s="37"/>
      <c r="Y225" s="37"/>
      <c r="Z225" s="37"/>
      <c r="AA225" s="37"/>
      <c r="AB225" s="37"/>
      <c r="AC225" s="37"/>
      <c r="AD225" s="37"/>
      <c r="AE225" s="37"/>
    </row>
    <row r="226" spans="1:31" x14ac:dyDescent="0.25">
      <c r="A226" s="37"/>
      <c r="B226" s="37"/>
      <c r="C226" s="37"/>
      <c r="D226" s="37"/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  <c r="Q226" s="37"/>
      <c r="R226" s="37"/>
      <c r="S226" s="37"/>
      <c r="T226" s="37"/>
      <c r="U226" s="37"/>
      <c r="V226" s="37"/>
      <c r="W226" s="37"/>
      <c r="X226" s="37"/>
      <c r="Y226" s="37"/>
      <c r="Z226" s="37"/>
      <c r="AA226" s="37"/>
      <c r="AB226" s="37"/>
      <c r="AC226" s="37"/>
      <c r="AD226" s="37"/>
      <c r="AE226" s="37"/>
    </row>
    <row r="227" spans="1:31" x14ac:dyDescent="0.25">
      <c r="A227" s="37"/>
      <c r="B227" s="37"/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R227" s="37"/>
      <c r="S227" s="37"/>
      <c r="T227" s="37"/>
      <c r="U227" s="37"/>
      <c r="V227" s="37"/>
      <c r="W227" s="37"/>
      <c r="X227" s="37"/>
      <c r="Y227" s="37"/>
      <c r="Z227" s="37"/>
      <c r="AA227" s="37"/>
      <c r="AB227" s="37"/>
      <c r="AC227" s="37"/>
      <c r="AD227" s="37"/>
      <c r="AE227" s="37"/>
    </row>
    <row r="228" spans="1:31" x14ac:dyDescent="0.25">
      <c r="A228" s="37"/>
      <c r="B228" s="37"/>
      <c r="C228" s="37"/>
      <c r="D228" s="37"/>
      <c r="E228" s="37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  <c r="Q228" s="37"/>
      <c r="R228" s="37"/>
      <c r="S228" s="37"/>
      <c r="T228" s="37"/>
      <c r="U228" s="37"/>
      <c r="V228" s="37"/>
      <c r="W228" s="37"/>
      <c r="X228" s="37"/>
      <c r="Y228" s="37"/>
      <c r="Z228" s="37"/>
      <c r="AA228" s="37"/>
      <c r="AB228" s="37"/>
      <c r="AC228" s="37"/>
      <c r="AD228" s="37"/>
      <c r="AE228" s="37"/>
    </row>
    <row r="229" spans="1:31" x14ac:dyDescent="0.25">
      <c r="A229" s="37"/>
      <c r="B229" s="37"/>
      <c r="C229" s="37"/>
      <c r="D229" s="37"/>
      <c r="E229" s="37"/>
      <c r="F229" s="37"/>
      <c r="G229" s="37"/>
      <c r="H229" s="37"/>
      <c r="I229" s="37"/>
      <c r="J229" s="37"/>
      <c r="K229" s="37"/>
      <c r="L229" s="37"/>
      <c r="M229" s="37"/>
      <c r="N229" s="37"/>
      <c r="O229" s="37"/>
      <c r="P229" s="37"/>
      <c r="Q229" s="37"/>
      <c r="R229" s="37"/>
      <c r="S229" s="37"/>
      <c r="T229" s="37"/>
      <c r="U229" s="37"/>
      <c r="V229" s="37"/>
      <c r="W229" s="37"/>
      <c r="X229" s="37"/>
      <c r="Y229" s="37"/>
      <c r="Z229" s="37"/>
      <c r="AA229" s="37"/>
      <c r="AB229" s="37"/>
      <c r="AC229" s="37"/>
      <c r="AD229" s="37"/>
      <c r="AE229" s="37"/>
    </row>
    <row r="230" spans="1:31" x14ac:dyDescent="0.25">
      <c r="A230" s="37"/>
      <c r="B230" s="37"/>
      <c r="C230" s="37"/>
      <c r="D230" s="37"/>
      <c r="E230" s="37"/>
      <c r="F230" s="37"/>
      <c r="G230" s="37"/>
      <c r="H230" s="37"/>
      <c r="I230" s="37"/>
      <c r="J230" s="37"/>
      <c r="K230" s="37"/>
      <c r="L230" s="37"/>
      <c r="M230" s="37"/>
      <c r="N230" s="37"/>
      <c r="O230" s="37"/>
      <c r="P230" s="37"/>
      <c r="Q230" s="37"/>
      <c r="R230" s="37"/>
      <c r="S230" s="37"/>
      <c r="T230" s="37"/>
      <c r="U230" s="37"/>
      <c r="V230" s="37"/>
      <c r="W230" s="37"/>
      <c r="X230" s="37"/>
      <c r="Y230" s="37"/>
      <c r="Z230" s="37"/>
      <c r="AA230" s="37"/>
      <c r="AB230" s="37"/>
      <c r="AC230" s="37"/>
      <c r="AD230" s="37"/>
      <c r="AE230" s="37"/>
    </row>
    <row r="231" spans="1:31" x14ac:dyDescent="0.25">
      <c r="A231" s="37"/>
      <c r="B231" s="37"/>
      <c r="C231" s="37"/>
      <c r="D231" s="37"/>
      <c r="E231" s="37"/>
      <c r="F231" s="37"/>
      <c r="G231" s="37"/>
      <c r="H231" s="37"/>
      <c r="I231" s="37"/>
      <c r="J231" s="37"/>
      <c r="K231" s="37"/>
      <c r="L231" s="37"/>
      <c r="M231" s="37"/>
      <c r="N231" s="37"/>
      <c r="O231" s="37"/>
      <c r="P231" s="37"/>
      <c r="Q231" s="37"/>
      <c r="R231" s="37"/>
      <c r="S231" s="37"/>
      <c r="T231" s="37"/>
      <c r="U231" s="37"/>
      <c r="V231" s="37"/>
      <c r="W231" s="37"/>
      <c r="X231" s="37"/>
      <c r="Y231" s="37"/>
      <c r="Z231" s="37"/>
      <c r="AA231" s="37"/>
      <c r="AB231" s="37"/>
      <c r="AC231" s="37"/>
      <c r="AD231" s="37"/>
      <c r="AE231" s="37"/>
    </row>
    <row r="232" spans="1:31" x14ac:dyDescent="0.25">
      <c r="A232" s="37"/>
      <c r="B232" s="37"/>
      <c r="C232" s="37"/>
      <c r="D232" s="37"/>
      <c r="E232" s="37"/>
      <c r="F232" s="37"/>
      <c r="G232" s="37"/>
      <c r="H232" s="37"/>
      <c r="I232" s="37"/>
      <c r="J232" s="37"/>
      <c r="K232" s="37"/>
      <c r="L232" s="37"/>
      <c r="M232" s="37"/>
      <c r="N232" s="37"/>
      <c r="O232" s="37"/>
      <c r="P232" s="37"/>
      <c r="Q232" s="37"/>
      <c r="R232" s="37"/>
      <c r="S232" s="37"/>
      <c r="T232" s="37"/>
      <c r="U232" s="37"/>
      <c r="V232" s="37"/>
      <c r="W232" s="37"/>
      <c r="X232" s="37"/>
      <c r="Y232" s="37"/>
      <c r="Z232" s="37"/>
      <c r="AA232" s="37"/>
      <c r="AB232" s="37"/>
      <c r="AC232" s="37"/>
      <c r="AD232" s="37"/>
      <c r="AE232" s="37"/>
    </row>
    <row r="233" spans="1:31" x14ac:dyDescent="0.25">
      <c r="A233" s="37"/>
      <c r="B233" s="37"/>
      <c r="C233" s="37"/>
      <c r="D233" s="37"/>
      <c r="E233" s="37"/>
      <c r="F233" s="37"/>
      <c r="G233" s="37"/>
      <c r="H233" s="37"/>
      <c r="I233" s="37"/>
      <c r="J233" s="37"/>
      <c r="K233" s="37"/>
      <c r="L233" s="37"/>
      <c r="M233" s="37"/>
      <c r="N233" s="37"/>
      <c r="O233" s="37"/>
      <c r="P233" s="37"/>
      <c r="Q233" s="37"/>
      <c r="R233" s="37"/>
      <c r="S233" s="37"/>
      <c r="T233" s="37"/>
      <c r="U233" s="37"/>
      <c r="V233" s="37"/>
      <c r="W233" s="37"/>
      <c r="X233" s="37"/>
      <c r="Y233" s="37"/>
      <c r="Z233" s="37"/>
      <c r="AA233" s="37"/>
      <c r="AB233" s="37"/>
      <c r="AC233" s="37"/>
      <c r="AD233" s="37"/>
      <c r="AE233" s="37"/>
    </row>
    <row r="234" spans="1:31" x14ac:dyDescent="0.25">
      <c r="A234" s="37"/>
      <c r="B234" s="37"/>
      <c r="C234" s="37"/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  <c r="P234" s="37"/>
      <c r="Q234" s="37"/>
      <c r="R234" s="37"/>
      <c r="S234" s="37"/>
      <c r="T234" s="37"/>
      <c r="U234" s="37"/>
      <c r="V234" s="37"/>
      <c r="W234" s="37"/>
      <c r="X234" s="37"/>
      <c r="Y234" s="37"/>
      <c r="Z234" s="37"/>
      <c r="AA234" s="37"/>
      <c r="AB234" s="37"/>
      <c r="AC234" s="37"/>
      <c r="AD234" s="37"/>
      <c r="AE234" s="37"/>
    </row>
    <row r="235" spans="1:31" x14ac:dyDescent="0.25">
      <c r="A235" s="37"/>
      <c r="B235" s="37"/>
      <c r="C235" s="37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  <c r="P235" s="37"/>
      <c r="Q235" s="37"/>
      <c r="R235" s="37"/>
      <c r="S235" s="37"/>
      <c r="T235" s="37"/>
      <c r="U235" s="37"/>
      <c r="V235" s="37"/>
      <c r="W235" s="37"/>
      <c r="X235" s="37"/>
      <c r="Y235" s="37"/>
      <c r="Z235" s="37"/>
      <c r="AA235" s="37"/>
      <c r="AB235" s="37"/>
      <c r="AC235" s="37"/>
      <c r="AD235" s="37"/>
      <c r="AE235" s="37"/>
    </row>
    <row r="236" spans="1:31" x14ac:dyDescent="0.25">
      <c r="A236" s="37"/>
      <c r="B236" s="37"/>
      <c r="C236" s="37"/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  <c r="P236" s="37"/>
      <c r="Q236" s="37"/>
      <c r="R236" s="37"/>
      <c r="S236" s="37"/>
      <c r="T236" s="37"/>
      <c r="U236" s="37"/>
      <c r="V236" s="37"/>
      <c r="W236" s="37"/>
      <c r="X236" s="37"/>
      <c r="Y236" s="37"/>
      <c r="Z236" s="37"/>
      <c r="AA236" s="37"/>
      <c r="AB236" s="37"/>
      <c r="AC236" s="37"/>
      <c r="AD236" s="37"/>
      <c r="AE236" s="37"/>
    </row>
    <row r="237" spans="1:31" x14ac:dyDescent="0.25">
      <c r="A237" s="37"/>
      <c r="B237" s="37"/>
      <c r="C237" s="37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  <c r="P237" s="37"/>
      <c r="Q237" s="37"/>
      <c r="R237" s="37"/>
      <c r="S237" s="37"/>
      <c r="T237" s="37"/>
      <c r="U237" s="37"/>
      <c r="V237" s="37"/>
      <c r="W237" s="37"/>
      <c r="X237" s="37"/>
      <c r="Y237" s="37"/>
      <c r="Z237" s="37"/>
      <c r="AA237" s="37"/>
      <c r="AB237" s="37"/>
      <c r="AC237" s="37"/>
      <c r="AD237" s="37"/>
      <c r="AE237" s="37"/>
    </row>
    <row r="238" spans="1:31" x14ac:dyDescent="0.25">
      <c r="A238" s="37"/>
      <c r="B238" s="37"/>
      <c r="C238" s="37"/>
      <c r="D238" s="37"/>
      <c r="E238" s="37"/>
      <c r="F238" s="37"/>
      <c r="G238" s="37"/>
      <c r="H238" s="37"/>
      <c r="I238" s="37"/>
      <c r="J238" s="37"/>
      <c r="K238" s="37"/>
      <c r="L238" s="37"/>
      <c r="M238" s="37"/>
      <c r="N238" s="37"/>
      <c r="O238" s="37"/>
      <c r="P238" s="37"/>
      <c r="Q238" s="37"/>
      <c r="R238" s="37"/>
      <c r="S238" s="37"/>
      <c r="T238" s="37"/>
      <c r="U238" s="37"/>
      <c r="V238" s="37"/>
      <c r="W238" s="37"/>
      <c r="X238" s="37"/>
      <c r="Y238" s="37"/>
      <c r="Z238" s="37"/>
      <c r="AA238" s="37"/>
      <c r="AB238" s="37"/>
      <c r="AC238" s="37"/>
      <c r="AD238" s="37"/>
      <c r="AE238" s="37"/>
    </row>
    <row r="239" spans="1:31" x14ac:dyDescent="0.25">
      <c r="A239" s="37"/>
      <c r="B239" s="37"/>
      <c r="C239" s="37"/>
      <c r="D239" s="37"/>
      <c r="E239" s="37"/>
      <c r="F239" s="37"/>
      <c r="G239" s="37"/>
      <c r="H239" s="37"/>
      <c r="I239" s="37"/>
      <c r="J239" s="37"/>
      <c r="K239" s="37"/>
      <c r="L239" s="37"/>
      <c r="M239" s="37"/>
      <c r="N239" s="37"/>
      <c r="O239" s="37"/>
      <c r="P239" s="37"/>
      <c r="Q239" s="37"/>
      <c r="R239" s="37"/>
      <c r="S239" s="37"/>
      <c r="T239" s="37"/>
      <c r="U239" s="37"/>
      <c r="V239" s="37"/>
      <c r="W239" s="37"/>
      <c r="X239" s="37"/>
      <c r="Y239" s="37"/>
      <c r="Z239" s="37"/>
      <c r="AA239" s="37"/>
      <c r="AB239" s="37"/>
      <c r="AC239" s="37"/>
      <c r="AD239" s="37"/>
      <c r="AE239" s="37"/>
    </row>
    <row r="240" spans="1:31" x14ac:dyDescent="0.25">
      <c r="A240" s="37"/>
      <c r="B240" s="37"/>
      <c r="C240" s="37"/>
      <c r="D240" s="37"/>
      <c r="E240" s="37"/>
      <c r="F240" s="37"/>
      <c r="G240" s="37"/>
      <c r="H240" s="37"/>
      <c r="I240" s="37"/>
      <c r="J240" s="37"/>
      <c r="K240" s="37"/>
      <c r="L240" s="37"/>
      <c r="M240" s="37"/>
      <c r="N240" s="37"/>
      <c r="O240" s="37"/>
      <c r="P240" s="37"/>
      <c r="Q240" s="37"/>
      <c r="R240" s="37"/>
      <c r="S240" s="37"/>
      <c r="T240" s="37"/>
      <c r="U240" s="37"/>
      <c r="V240" s="37"/>
      <c r="W240" s="37"/>
      <c r="X240" s="37"/>
      <c r="Y240" s="37"/>
      <c r="Z240" s="37"/>
      <c r="AA240" s="37"/>
      <c r="AB240" s="37"/>
      <c r="AC240" s="37"/>
      <c r="AD240" s="37"/>
      <c r="AE240" s="37"/>
    </row>
    <row r="241" spans="1:31" x14ac:dyDescent="0.25">
      <c r="A241" s="37"/>
      <c r="B241" s="37"/>
      <c r="C241" s="37"/>
      <c r="D241" s="37"/>
      <c r="E241" s="37"/>
      <c r="F241" s="37"/>
      <c r="G241" s="37"/>
      <c r="H241" s="37"/>
      <c r="I241" s="37"/>
      <c r="J241" s="37"/>
      <c r="K241" s="37"/>
      <c r="L241" s="37"/>
      <c r="M241" s="37"/>
      <c r="N241" s="37"/>
      <c r="O241" s="37"/>
      <c r="P241" s="37"/>
      <c r="Q241" s="37"/>
      <c r="R241" s="37"/>
      <c r="S241" s="37"/>
      <c r="T241" s="37"/>
      <c r="U241" s="37"/>
      <c r="V241" s="37"/>
      <c r="W241" s="37"/>
      <c r="X241" s="37"/>
      <c r="Y241" s="37"/>
      <c r="Z241" s="37"/>
      <c r="AA241" s="37"/>
      <c r="AB241" s="37"/>
      <c r="AC241" s="37"/>
      <c r="AD241" s="37"/>
      <c r="AE241" s="37"/>
    </row>
    <row r="242" spans="1:31" x14ac:dyDescent="0.25">
      <c r="A242" s="37"/>
      <c r="B242" s="37"/>
      <c r="C242" s="37"/>
      <c r="D242" s="37"/>
      <c r="E242" s="37"/>
      <c r="F242" s="37"/>
      <c r="G242" s="37"/>
      <c r="H242" s="37"/>
      <c r="I242" s="37"/>
      <c r="J242" s="37"/>
      <c r="K242" s="37"/>
      <c r="L242" s="37"/>
      <c r="M242" s="37"/>
      <c r="N242" s="37"/>
      <c r="O242" s="37"/>
      <c r="P242" s="37"/>
      <c r="Q242" s="37"/>
      <c r="R242" s="37"/>
      <c r="S242" s="37"/>
      <c r="T242" s="37"/>
      <c r="U242" s="37"/>
      <c r="V242" s="37"/>
      <c r="W242" s="37"/>
      <c r="X242" s="37"/>
      <c r="Y242" s="37"/>
      <c r="Z242" s="37"/>
      <c r="AA242" s="37"/>
      <c r="AB242" s="37"/>
      <c r="AC242" s="37"/>
      <c r="AD242" s="37"/>
      <c r="AE242" s="37"/>
    </row>
    <row r="243" spans="1:31" x14ac:dyDescent="0.25">
      <c r="A243" s="37"/>
      <c r="B243" s="37"/>
      <c r="C243" s="37"/>
      <c r="D243" s="37"/>
      <c r="E243" s="37"/>
      <c r="F243" s="37"/>
      <c r="G243" s="37"/>
      <c r="H243" s="37"/>
      <c r="I243" s="37"/>
      <c r="J243" s="37"/>
      <c r="K243" s="37"/>
      <c r="L243" s="37"/>
      <c r="M243" s="37"/>
      <c r="N243" s="37"/>
      <c r="O243" s="37"/>
      <c r="P243" s="37"/>
      <c r="Q243" s="37"/>
      <c r="R243" s="37"/>
      <c r="S243" s="37"/>
      <c r="T243" s="37"/>
      <c r="U243" s="37"/>
      <c r="V243" s="37"/>
      <c r="W243" s="37"/>
      <c r="X243" s="37"/>
      <c r="Y243" s="37"/>
      <c r="Z243" s="37"/>
      <c r="AA243" s="37"/>
      <c r="AB243" s="37"/>
      <c r="AC243" s="37"/>
      <c r="AD243" s="37"/>
      <c r="AE243" s="37"/>
    </row>
    <row r="244" spans="1:31" x14ac:dyDescent="0.25">
      <c r="A244" s="37"/>
      <c r="B244" s="37"/>
      <c r="C244" s="37"/>
      <c r="D244" s="37"/>
      <c r="E244" s="37"/>
      <c r="F244" s="37"/>
      <c r="G244" s="37"/>
      <c r="H244" s="37"/>
      <c r="I244" s="37"/>
      <c r="J244" s="37"/>
      <c r="K244" s="37"/>
      <c r="L244" s="37"/>
      <c r="M244" s="37"/>
      <c r="N244" s="37"/>
      <c r="O244" s="37"/>
      <c r="P244" s="37"/>
      <c r="Q244" s="37"/>
      <c r="R244" s="37"/>
      <c r="S244" s="37"/>
      <c r="T244" s="37"/>
      <c r="U244" s="37"/>
      <c r="V244" s="37"/>
      <c r="W244" s="37"/>
      <c r="X244" s="37"/>
      <c r="Y244" s="37"/>
      <c r="Z244" s="37"/>
      <c r="AA244" s="37"/>
      <c r="AB244" s="37"/>
      <c r="AC244" s="37"/>
      <c r="AD244" s="37"/>
      <c r="AE244" s="37"/>
    </row>
    <row r="245" spans="1:31" x14ac:dyDescent="0.25">
      <c r="A245" s="37"/>
      <c r="B245" s="37"/>
      <c r="C245" s="37"/>
      <c r="D245" s="37"/>
      <c r="E245" s="37"/>
      <c r="F245" s="37"/>
      <c r="G245" s="37"/>
      <c r="H245" s="37"/>
      <c r="I245" s="37"/>
      <c r="J245" s="37"/>
      <c r="K245" s="37"/>
      <c r="L245" s="37"/>
      <c r="M245" s="37"/>
      <c r="N245" s="37"/>
      <c r="O245" s="37"/>
      <c r="P245" s="37"/>
      <c r="Q245" s="37"/>
      <c r="R245" s="37"/>
      <c r="S245" s="37"/>
      <c r="T245" s="37"/>
      <c r="U245" s="37"/>
      <c r="V245" s="37"/>
      <c r="W245" s="37"/>
      <c r="X245" s="37"/>
      <c r="Y245" s="37"/>
      <c r="Z245" s="37"/>
      <c r="AA245" s="37"/>
      <c r="AB245" s="37"/>
      <c r="AC245" s="37"/>
      <c r="AD245" s="37"/>
      <c r="AE245" s="37"/>
    </row>
    <row r="246" spans="1:31" x14ac:dyDescent="0.25">
      <c r="A246" s="37"/>
      <c r="B246" s="37"/>
      <c r="C246" s="37"/>
      <c r="D246" s="37"/>
      <c r="E246" s="37"/>
      <c r="F246" s="37"/>
      <c r="G246" s="37"/>
      <c r="H246" s="37"/>
      <c r="I246" s="37"/>
      <c r="J246" s="37"/>
      <c r="K246" s="37"/>
      <c r="L246" s="37"/>
      <c r="M246" s="37"/>
      <c r="N246" s="37"/>
      <c r="O246" s="37"/>
      <c r="P246" s="37"/>
      <c r="Q246" s="37"/>
      <c r="R246" s="37"/>
      <c r="S246" s="37"/>
      <c r="T246" s="37"/>
      <c r="U246" s="37"/>
      <c r="V246" s="37"/>
      <c r="W246" s="37"/>
      <c r="X246" s="37"/>
      <c r="Y246" s="37"/>
      <c r="Z246" s="37"/>
      <c r="AA246" s="37"/>
      <c r="AB246" s="37"/>
      <c r="AC246" s="37"/>
      <c r="AD246" s="37"/>
      <c r="AE246" s="37"/>
    </row>
    <row r="247" spans="1:31" x14ac:dyDescent="0.25">
      <c r="A247" s="37"/>
      <c r="B247" s="37"/>
      <c r="C247" s="37"/>
      <c r="D247" s="37"/>
      <c r="E247" s="37"/>
      <c r="F247" s="37"/>
      <c r="G247" s="37"/>
      <c r="H247" s="37"/>
      <c r="I247" s="37"/>
      <c r="J247" s="37"/>
      <c r="K247" s="37"/>
      <c r="L247" s="37"/>
      <c r="M247" s="37"/>
      <c r="N247" s="37"/>
      <c r="O247" s="37"/>
      <c r="P247" s="37"/>
      <c r="Q247" s="37"/>
      <c r="R247" s="37"/>
      <c r="S247" s="37"/>
      <c r="T247" s="37"/>
      <c r="U247" s="37"/>
      <c r="V247" s="37"/>
      <c r="W247" s="37"/>
      <c r="X247" s="37"/>
      <c r="Y247" s="37"/>
      <c r="Z247" s="37"/>
      <c r="AA247" s="37"/>
      <c r="AB247" s="37"/>
      <c r="AC247" s="37"/>
      <c r="AD247" s="37"/>
      <c r="AE247" s="37"/>
    </row>
    <row r="248" spans="1:31" x14ac:dyDescent="0.25">
      <c r="A248" s="37"/>
      <c r="B248" s="37"/>
      <c r="C248" s="37"/>
      <c r="D248" s="37"/>
      <c r="E248" s="37"/>
      <c r="F248" s="37"/>
      <c r="G248" s="37"/>
      <c r="H248" s="37"/>
      <c r="I248" s="37"/>
      <c r="J248" s="37"/>
      <c r="K248" s="37"/>
      <c r="L248" s="37"/>
      <c r="M248" s="37"/>
      <c r="N248" s="37"/>
      <c r="O248" s="37"/>
      <c r="P248" s="37"/>
      <c r="Q248" s="37"/>
      <c r="R248" s="37"/>
      <c r="S248" s="37"/>
      <c r="T248" s="37"/>
      <c r="U248" s="37"/>
      <c r="V248" s="37"/>
      <c r="W248" s="37"/>
      <c r="X248" s="37"/>
      <c r="Y248" s="37"/>
      <c r="Z248" s="37"/>
      <c r="AA248" s="37"/>
      <c r="AB248" s="37"/>
      <c r="AC248" s="37"/>
      <c r="AD248" s="37"/>
      <c r="AE248" s="37"/>
    </row>
    <row r="249" spans="1:31" x14ac:dyDescent="0.25">
      <c r="A249" s="37"/>
      <c r="B249" s="37"/>
      <c r="C249" s="37"/>
      <c r="D249" s="37"/>
      <c r="E249" s="37"/>
      <c r="F249" s="37"/>
      <c r="G249" s="37"/>
      <c r="H249" s="37"/>
      <c r="I249" s="37"/>
      <c r="J249" s="37"/>
      <c r="K249" s="37"/>
      <c r="L249" s="37"/>
      <c r="M249" s="37"/>
      <c r="N249" s="37"/>
      <c r="O249" s="37"/>
      <c r="P249" s="37"/>
      <c r="Q249" s="37"/>
      <c r="R249" s="37"/>
      <c r="S249" s="37"/>
      <c r="T249" s="37"/>
      <c r="U249" s="37"/>
      <c r="V249" s="37"/>
      <c r="W249" s="37"/>
      <c r="X249" s="37"/>
      <c r="Y249" s="37"/>
      <c r="Z249" s="37"/>
      <c r="AA249" s="37"/>
      <c r="AB249" s="37"/>
      <c r="AC249" s="37"/>
      <c r="AD249" s="37"/>
      <c r="AE249" s="37"/>
    </row>
    <row r="250" spans="1:31" x14ac:dyDescent="0.25">
      <c r="A250" s="37"/>
      <c r="B250" s="37"/>
      <c r="C250" s="37"/>
      <c r="D250" s="37"/>
      <c r="E250" s="37"/>
      <c r="F250" s="37"/>
      <c r="G250" s="37"/>
      <c r="H250" s="37"/>
      <c r="I250" s="37"/>
      <c r="J250" s="37"/>
      <c r="K250" s="37"/>
      <c r="L250" s="37"/>
      <c r="M250" s="37"/>
      <c r="N250" s="37"/>
      <c r="O250" s="37"/>
      <c r="P250" s="37"/>
      <c r="Q250" s="37"/>
      <c r="R250" s="37"/>
      <c r="S250" s="37"/>
      <c r="T250" s="37"/>
      <c r="U250" s="37"/>
      <c r="V250" s="37"/>
      <c r="W250" s="37"/>
      <c r="X250" s="37"/>
      <c r="Y250" s="37"/>
      <c r="Z250" s="37"/>
      <c r="AA250" s="37"/>
      <c r="AB250" s="37"/>
      <c r="AC250" s="37"/>
      <c r="AD250" s="37"/>
      <c r="AE250" s="37"/>
    </row>
    <row r="251" spans="1:31" x14ac:dyDescent="0.25">
      <c r="A251" s="37"/>
      <c r="B251" s="37"/>
      <c r="C251" s="37"/>
      <c r="D251" s="37"/>
      <c r="E251" s="37"/>
      <c r="F251" s="37"/>
      <c r="G251" s="37"/>
      <c r="H251" s="37"/>
      <c r="I251" s="37"/>
      <c r="J251" s="37"/>
      <c r="K251" s="37"/>
      <c r="L251" s="37"/>
      <c r="M251" s="37"/>
      <c r="N251" s="37"/>
      <c r="O251" s="37"/>
      <c r="P251" s="37"/>
      <c r="Q251" s="37"/>
      <c r="R251" s="37"/>
      <c r="S251" s="37"/>
      <c r="T251" s="37"/>
      <c r="U251" s="37"/>
      <c r="V251" s="37"/>
      <c r="W251" s="37"/>
      <c r="X251" s="37"/>
      <c r="Y251" s="37"/>
      <c r="Z251" s="37"/>
      <c r="AA251" s="37"/>
      <c r="AB251" s="37"/>
      <c r="AC251" s="37"/>
      <c r="AD251" s="37"/>
      <c r="AE251" s="37"/>
    </row>
    <row r="252" spans="1:31" x14ac:dyDescent="0.25">
      <c r="A252" s="37"/>
      <c r="B252" s="37"/>
      <c r="C252" s="37"/>
      <c r="D252" s="37"/>
      <c r="E252" s="37"/>
      <c r="F252" s="37"/>
      <c r="G252" s="37"/>
      <c r="H252" s="37"/>
      <c r="I252" s="37"/>
      <c r="J252" s="37"/>
      <c r="K252" s="37"/>
      <c r="L252" s="37"/>
      <c r="M252" s="37"/>
      <c r="N252" s="37"/>
      <c r="O252" s="37"/>
      <c r="P252" s="37"/>
      <c r="Q252" s="37"/>
      <c r="R252" s="37"/>
      <c r="S252" s="37"/>
      <c r="T252" s="37"/>
      <c r="U252" s="37"/>
      <c r="V252" s="37"/>
      <c r="W252" s="37"/>
      <c r="X252" s="37"/>
      <c r="Y252" s="37"/>
      <c r="Z252" s="37"/>
      <c r="AA252" s="37"/>
      <c r="AB252" s="37"/>
      <c r="AC252" s="37"/>
      <c r="AD252" s="37"/>
      <c r="AE252" s="37"/>
    </row>
    <row r="253" spans="1:31" x14ac:dyDescent="0.25">
      <c r="A253" s="37"/>
      <c r="B253" s="37"/>
      <c r="C253" s="37"/>
      <c r="D253" s="37"/>
      <c r="E253" s="37"/>
      <c r="F253" s="37"/>
      <c r="G253" s="37"/>
      <c r="H253" s="37"/>
      <c r="I253" s="37"/>
      <c r="J253" s="37"/>
      <c r="K253" s="37"/>
      <c r="L253" s="37"/>
      <c r="M253" s="37"/>
      <c r="N253" s="37"/>
      <c r="O253" s="37"/>
      <c r="P253" s="37"/>
      <c r="Q253" s="37"/>
      <c r="R253" s="37"/>
      <c r="S253" s="37"/>
      <c r="T253" s="37"/>
      <c r="U253" s="37"/>
      <c r="V253" s="37"/>
      <c r="W253" s="37"/>
      <c r="X253" s="37"/>
      <c r="Y253" s="37"/>
      <c r="Z253" s="37"/>
      <c r="AA253" s="37"/>
      <c r="AB253" s="37"/>
      <c r="AC253" s="37"/>
      <c r="AD253" s="37"/>
      <c r="AE253" s="37"/>
    </row>
    <row r="254" spans="1:31" x14ac:dyDescent="0.25">
      <c r="A254" s="37"/>
      <c r="B254" s="37"/>
      <c r="C254" s="37"/>
      <c r="D254" s="37"/>
      <c r="E254" s="37"/>
      <c r="F254" s="37"/>
      <c r="G254" s="37"/>
      <c r="H254" s="37"/>
      <c r="I254" s="37"/>
      <c r="J254" s="37"/>
      <c r="K254" s="37"/>
      <c r="L254" s="37"/>
      <c r="M254" s="37"/>
      <c r="N254" s="37"/>
      <c r="O254" s="37"/>
      <c r="P254" s="37"/>
      <c r="Q254" s="37"/>
      <c r="R254" s="37"/>
      <c r="S254" s="37"/>
      <c r="T254" s="37"/>
      <c r="U254" s="37"/>
      <c r="V254" s="37"/>
      <c r="W254" s="37"/>
      <c r="X254" s="37"/>
      <c r="Y254" s="37"/>
      <c r="Z254" s="37"/>
      <c r="AA254" s="37"/>
      <c r="AB254" s="37"/>
      <c r="AC254" s="37"/>
      <c r="AD254" s="37"/>
      <c r="AE254" s="37"/>
    </row>
    <row r="255" spans="1:31" x14ac:dyDescent="0.25">
      <c r="A255" s="37"/>
      <c r="B255" s="37"/>
      <c r="C255" s="37"/>
      <c r="D255" s="37"/>
      <c r="E255" s="37"/>
      <c r="F255" s="37"/>
      <c r="G255" s="37"/>
      <c r="H255" s="37"/>
      <c r="I255" s="37"/>
      <c r="J255" s="37"/>
      <c r="K255" s="37"/>
      <c r="L255" s="37"/>
      <c r="M255" s="37"/>
      <c r="N255" s="37"/>
      <c r="O255" s="37"/>
      <c r="P255" s="37"/>
      <c r="Q255" s="37"/>
      <c r="R255" s="37"/>
      <c r="S255" s="37"/>
      <c r="T255" s="37"/>
      <c r="U255" s="37"/>
      <c r="V255" s="37"/>
      <c r="W255" s="37"/>
      <c r="X255" s="37"/>
      <c r="Y255" s="37"/>
      <c r="Z255" s="37"/>
      <c r="AA255" s="37"/>
      <c r="AB255" s="37"/>
      <c r="AC255" s="37"/>
      <c r="AD255" s="37"/>
      <c r="AE255" s="37"/>
    </row>
    <row r="256" spans="1:31" x14ac:dyDescent="0.25">
      <c r="A256" s="37"/>
      <c r="B256" s="37"/>
      <c r="C256" s="37"/>
      <c r="D256" s="37"/>
      <c r="E256" s="37"/>
      <c r="F256" s="37"/>
      <c r="G256" s="37"/>
      <c r="H256" s="37"/>
      <c r="I256" s="37"/>
      <c r="J256" s="37"/>
      <c r="K256" s="37"/>
      <c r="L256" s="37"/>
      <c r="M256" s="37"/>
      <c r="N256" s="37"/>
      <c r="O256" s="37"/>
      <c r="P256" s="37"/>
      <c r="Q256" s="37"/>
      <c r="R256" s="37"/>
      <c r="S256" s="37"/>
      <c r="T256" s="37"/>
      <c r="U256" s="37"/>
      <c r="V256" s="37"/>
      <c r="W256" s="37"/>
      <c r="X256" s="37"/>
      <c r="Y256" s="37"/>
      <c r="Z256" s="37"/>
      <c r="AA256" s="37"/>
      <c r="AB256" s="37"/>
      <c r="AC256" s="37"/>
      <c r="AD256" s="37"/>
      <c r="AE256" s="37"/>
    </row>
    <row r="257" spans="1:31" x14ac:dyDescent="0.25">
      <c r="A257" s="37"/>
      <c r="B257" s="37"/>
      <c r="C257" s="37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7"/>
      <c r="Q257" s="37"/>
      <c r="R257" s="37"/>
      <c r="S257" s="37"/>
      <c r="T257" s="37"/>
      <c r="U257" s="37"/>
      <c r="V257" s="37"/>
      <c r="W257" s="37"/>
      <c r="X257" s="37"/>
      <c r="Y257" s="37"/>
      <c r="Z257" s="37"/>
      <c r="AA257" s="37"/>
      <c r="AB257" s="37"/>
      <c r="AC257" s="37"/>
      <c r="AD257" s="37"/>
      <c r="AE257" s="37"/>
    </row>
    <row r="258" spans="1:31" x14ac:dyDescent="0.25">
      <c r="A258" s="37"/>
      <c r="B258" s="37"/>
      <c r="C258" s="37"/>
      <c r="D258" s="37"/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  <c r="P258" s="37"/>
      <c r="Q258" s="37"/>
      <c r="R258" s="37"/>
      <c r="S258" s="37"/>
      <c r="T258" s="37"/>
      <c r="U258" s="37"/>
      <c r="V258" s="37"/>
      <c r="W258" s="37"/>
      <c r="X258" s="37"/>
      <c r="Y258" s="37"/>
      <c r="Z258" s="37"/>
      <c r="AA258" s="37"/>
      <c r="AB258" s="37"/>
      <c r="AC258" s="37"/>
      <c r="AD258" s="37"/>
      <c r="AE258" s="37"/>
    </row>
    <row r="259" spans="1:31" x14ac:dyDescent="0.25">
      <c r="A259" s="37"/>
      <c r="B259" s="37"/>
      <c r="C259" s="37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7"/>
      <c r="Q259" s="37"/>
      <c r="R259" s="37"/>
      <c r="S259" s="37"/>
      <c r="T259" s="37"/>
      <c r="U259" s="37"/>
      <c r="V259" s="37"/>
      <c r="W259" s="37"/>
      <c r="X259" s="37"/>
      <c r="Y259" s="37"/>
      <c r="Z259" s="37"/>
      <c r="AA259" s="37"/>
      <c r="AB259" s="37"/>
      <c r="AC259" s="37"/>
      <c r="AD259" s="37"/>
      <c r="AE259" s="37"/>
    </row>
    <row r="260" spans="1:31" x14ac:dyDescent="0.25">
      <c r="A260" s="37"/>
      <c r="B260" s="37"/>
      <c r="C260" s="37"/>
      <c r="D260" s="37"/>
      <c r="E260" s="37"/>
      <c r="F260" s="37"/>
      <c r="G260" s="37"/>
      <c r="H260" s="37"/>
      <c r="I260" s="37"/>
      <c r="J260" s="37"/>
      <c r="K260" s="37"/>
      <c r="L260" s="37"/>
      <c r="M260" s="37"/>
      <c r="N260" s="37"/>
      <c r="O260" s="37"/>
      <c r="P260" s="37"/>
      <c r="Q260" s="37"/>
      <c r="R260" s="37"/>
      <c r="S260" s="37"/>
      <c r="T260" s="37"/>
      <c r="U260" s="37"/>
      <c r="V260" s="37"/>
      <c r="W260" s="37"/>
      <c r="X260" s="37"/>
      <c r="Y260" s="37"/>
      <c r="Z260" s="37"/>
      <c r="AA260" s="37"/>
      <c r="AB260" s="37"/>
      <c r="AC260" s="37"/>
      <c r="AD260" s="37"/>
      <c r="AE260" s="37"/>
    </row>
    <row r="261" spans="1:31" x14ac:dyDescent="0.25">
      <c r="A261" s="37"/>
      <c r="B261" s="37"/>
      <c r="C261" s="37"/>
      <c r="D261" s="37"/>
      <c r="E261" s="37"/>
      <c r="F261" s="37"/>
      <c r="G261" s="37"/>
      <c r="H261" s="37"/>
      <c r="I261" s="37"/>
      <c r="J261" s="37"/>
      <c r="K261" s="37"/>
      <c r="L261" s="37"/>
      <c r="M261" s="37"/>
      <c r="N261" s="37"/>
      <c r="O261" s="37"/>
      <c r="P261" s="37"/>
      <c r="Q261" s="37"/>
      <c r="R261" s="37"/>
      <c r="S261" s="37"/>
      <c r="T261" s="37"/>
      <c r="U261" s="37"/>
      <c r="V261" s="37"/>
      <c r="W261" s="37"/>
      <c r="X261" s="37"/>
      <c r="Y261" s="37"/>
      <c r="Z261" s="37"/>
      <c r="AA261" s="37"/>
      <c r="AB261" s="37"/>
      <c r="AC261" s="37"/>
      <c r="AD261" s="37"/>
      <c r="AE261" s="37"/>
    </row>
    <row r="262" spans="1:31" x14ac:dyDescent="0.25">
      <c r="A262" s="37"/>
      <c r="B262" s="37"/>
      <c r="C262" s="37"/>
      <c r="D262" s="37"/>
      <c r="E262" s="37"/>
      <c r="F262" s="37"/>
      <c r="G262" s="37"/>
      <c r="H262" s="37"/>
      <c r="I262" s="37"/>
      <c r="J262" s="37"/>
      <c r="K262" s="37"/>
      <c r="L262" s="37"/>
      <c r="M262" s="37"/>
      <c r="N262" s="37"/>
      <c r="O262" s="37"/>
      <c r="P262" s="37"/>
      <c r="Q262" s="37"/>
      <c r="R262" s="37"/>
      <c r="S262" s="37"/>
      <c r="T262" s="37"/>
      <c r="U262" s="37"/>
      <c r="V262" s="37"/>
      <c r="W262" s="37"/>
      <c r="X262" s="37"/>
      <c r="Y262" s="37"/>
      <c r="Z262" s="37"/>
      <c r="AA262" s="37"/>
      <c r="AB262" s="37"/>
      <c r="AC262" s="37"/>
      <c r="AD262" s="37"/>
      <c r="AE262" s="37"/>
    </row>
    <row r="263" spans="1:31" x14ac:dyDescent="0.25">
      <c r="A263" s="37"/>
      <c r="B263" s="37"/>
      <c r="C263" s="37"/>
      <c r="D263" s="37"/>
      <c r="E263" s="37"/>
      <c r="F263" s="37"/>
      <c r="G263" s="37"/>
      <c r="H263" s="37"/>
      <c r="I263" s="37"/>
      <c r="J263" s="37"/>
      <c r="K263" s="37"/>
      <c r="L263" s="37"/>
      <c r="M263" s="37"/>
      <c r="N263" s="37"/>
      <c r="O263" s="37"/>
      <c r="P263" s="37"/>
      <c r="Q263" s="37"/>
      <c r="R263" s="37"/>
      <c r="S263" s="37"/>
      <c r="T263" s="37"/>
      <c r="U263" s="37"/>
      <c r="V263" s="37"/>
      <c r="W263" s="37"/>
      <c r="X263" s="37"/>
      <c r="Y263" s="37"/>
      <c r="Z263" s="37"/>
      <c r="AA263" s="37"/>
      <c r="AB263" s="37"/>
      <c r="AC263" s="37"/>
      <c r="AD263" s="37"/>
      <c r="AE263" s="37"/>
    </row>
    <row r="264" spans="1:31" x14ac:dyDescent="0.25">
      <c r="A264" s="37"/>
      <c r="B264" s="37"/>
      <c r="C264" s="37"/>
      <c r="D264" s="37"/>
      <c r="E264" s="37"/>
      <c r="F264" s="37"/>
      <c r="G264" s="37"/>
      <c r="H264" s="37"/>
      <c r="I264" s="37"/>
      <c r="J264" s="37"/>
      <c r="K264" s="37"/>
      <c r="L264" s="37"/>
      <c r="M264" s="37"/>
      <c r="N264" s="37"/>
      <c r="O264" s="37"/>
      <c r="P264" s="37"/>
      <c r="Q264" s="37"/>
      <c r="R264" s="37"/>
      <c r="S264" s="37"/>
      <c r="T264" s="37"/>
      <c r="U264" s="37"/>
      <c r="V264" s="37"/>
      <c r="W264" s="37"/>
      <c r="X264" s="37"/>
      <c r="Y264" s="37"/>
      <c r="Z264" s="37"/>
      <c r="AA264" s="37"/>
      <c r="AB264" s="37"/>
      <c r="AC264" s="37"/>
      <c r="AD264" s="37"/>
      <c r="AE264" s="37"/>
    </row>
    <row r="265" spans="1:31" x14ac:dyDescent="0.25">
      <c r="A265" s="37"/>
      <c r="B265" s="37"/>
      <c r="C265" s="37"/>
      <c r="D265" s="37"/>
      <c r="E265" s="37"/>
      <c r="F265" s="37"/>
      <c r="G265" s="37"/>
      <c r="H265" s="37"/>
      <c r="I265" s="37"/>
      <c r="J265" s="37"/>
      <c r="K265" s="37"/>
      <c r="L265" s="37"/>
      <c r="M265" s="37"/>
      <c r="N265" s="37"/>
      <c r="O265" s="37"/>
      <c r="P265" s="37"/>
      <c r="Q265" s="37"/>
      <c r="R265" s="37"/>
      <c r="S265" s="37"/>
      <c r="T265" s="37"/>
      <c r="U265" s="37"/>
      <c r="V265" s="37"/>
      <c r="W265" s="37"/>
      <c r="X265" s="37"/>
      <c r="Y265" s="37"/>
      <c r="Z265" s="37"/>
      <c r="AA265" s="37"/>
      <c r="AB265" s="37"/>
      <c r="AC265" s="37"/>
      <c r="AD265" s="37"/>
      <c r="AE265" s="37"/>
    </row>
    <row r="266" spans="1:31" x14ac:dyDescent="0.25">
      <c r="A266" s="37"/>
      <c r="B266" s="37"/>
      <c r="C266" s="37"/>
      <c r="D266" s="37"/>
      <c r="E266" s="37"/>
      <c r="F266" s="37"/>
      <c r="G266" s="37"/>
      <c r="H266" s="37"/>
      <c r="I266" s="37"/>
      <c r="J266" s="37"/>
      <c r="K266" s="37"/>
      <c r="L266" s="37"/>
      <c r="M266" s="37"/>
      <c r="N266" s="37"/>
      <c r="O266" s="37"/>
      <c r="P266" s="37"/>
      <c r="Q266" s="37"/>
      <c r="R266" s="37"/>
      <c r="S266" s="37"/>
      <c r="T266" s="37"/>
      <c r="U266" s="37"/>
      <c r="V266" s="37"/>
      <c r="W266" s="37"/>
      <c r="X266" s="37"/>
      <c r="Y266" s="37"/>
      <c r="Z266" s="37"/>
      <c r="AA266" s="37"/>
      <c r="AB266" s="37"/>
      <c r="AC266" s="37"/>
      <c r="AD266" s="37"/>
      <c r="AE266" s="37"/>
    </row>
    <row r="267" spans="1:31" x14ac:dyDescent="0.25">
      <c r="A267" s="37"/>
      <c r="B267" s="37"/>
      <c r="C267" s="37"/>
      <c r="D267" s="37"/>
      <c r="E267" s="37"/>
      <c r="F267" s="37"/>
      <c r="G267" s="37"/>
      <c r="H267" s="37"/>
      <c r="I267" s="37"/>
      <c r="J267" s="37"/>
      <c r="K267" s="37"/>
      <c r="L267" s="37"/>
      <c r="M267" s="37"/>
      <c r="N267" s="37"/>
      <c r="O267" s="37"/>
      <c r="P267" s="37"/>
      <c r="Q267" s="37"/>
      <c r="R267" s="37"/>
      <c r="S267" s="37"/>
      <c r="T267" s="37"/>
      <c r="U267" s="37"/>
      <c r="V267" s="37"/>
      <c r="W267" s="37"/>
      <c r="X267" s="37"/>
      <c r="Y267" s="37"/>
      <c r="Z267" s="37"/>
      <c r="AA267" s="37"/>
      <c r="AB267" s="37"/>
      <c r="AC267" s="37"/>
      <c r="AD267" s="37"/>
      <c r="AE267" s="37"/>
    </row>
    <row r="268" spans="1:31" x14ac:dyDescent="0.25">
      <c r="A268" s="37"/>
      <c r="B268" s="37"/>
      <c r="C268" s="37"/>
      <c r="D268" s="37"/>
      <c r="E268" s="37"/>
      <c r="F268" s="37"/>
      <c r="G268" s="37"/>
      <c r="H268" s="37"/>
      <c r="I268" s="37"/>
      <c r="J268" s="37"/>
      <c r="K268" s="37"/>
      <c r="L268" s="37"/>
      <c r="M268" s="37"/>
      <c r="N268" s="37"/>
      <c r="O268" s="37"/>
      <c r="P268" s="37"/>
      <c r="Q268" s="37"/>
      <c r="R268" s="37"/>
      <c r="S268" s="37"/>
      <c r="T268" s="37"/>
      <c r="U268" s="37"/>
      <c r="V268" s="37"/>
      <c r="W268" s="37"/>
      <c r="X268" s="37"/>
      <c r="Y268" s="37"/>
      <c r="Z268" s="37"/>
      <c r="AA268" s="37"/>
      <c r="AB268" s="37"/>
      <c r="AC268" s="37"/>
      <c r="AD268" s="37"/>
      <c r="AE268" s="37"/>
    </row>
    <row r="269" spans="1:31" x14ac:dyDescent="0.25">
      <c r="A269" s="37"/>
      <c r="B269" s="37"/>
      <c r="C269" s="37"/>
      <c r="D269" s="37"/>
      <c r="E269" s="37"/>
      <c r="F269" s="37"/>
      <c r="G269" s="37"/>
      <c r="H269" s="37"/>
      <c r="I269" s="37"/>
      <c r="J269" s="37"/>
      <c r="K269" s="37"/>
      <c r="L269" s="37"/>
      <c r="M269" s="37"/>
      <c r="N269" s="37"/>
      <c r="O269" s="37"/>
      <c r="P269" s="37"/>
      <c r="Q269" s="37"/>
      <c r="R269" s="37"/>
      <c r="S269" s="37"/>
      <c r="T269" s="37"/>
      <c r="U269" s="37"/>
      <c r="V269" s="37"/>
      <c r="W269" s="37"/>
      <c r="X269" s="37"/>
      <c r="Y269" s="37"/>
      <c r="Z269" s="37"/>
      <c r="AA269" s="37"/>
      <c r="AB269" s="37"/>
      <c r="AC269" s="37"/>
      <c r="AD269" s="37"/>
      <c r="AE269" s="37"/>
    </row>
    <row r="270" spans="1:31" x14ac:dyDescent="0.25">
      <c r="A270" s="37"/>
      <c r="B270" s="37"/>
      <c r="C270" s="37"/>
      <c r="D270" s="37"/>
      <c r="E270" s="37"/>
      <c r="F270" s="37"/>
      <c r="G270" s="37"/>
      <c r="H270" s="37"/>
      <c r="I270" s="37"/>
      <c r="J270" s="37"/>
      <c r="K270" s="37"/>
      <c r="L270" s="37"/>
      <c r="M270" s="37"/>
      <c r="N270" s="37"/>
      <c r="O270" s="37"/>
      <c r="P270" s="37"/>
      <c r="Q270" s="37"/>
      <c r="R270" s="37"/>
      <c r="S270" s="37"/>
      <c r="T270" s="37"/>
      <c r="U270" s="37"/>
      <c r="V270" s="37"/>
      <c r="W270" s="37"/>
      <c r="X270" s="37"/>
      <c r="Y270" s="37"/>
      <c r="Z270" s="37"/>
      <c r="AA270" s="37"/>
      <c r="AB270" s="37"/>
      <c r="AC270" s="37"/>
      <c r="AD270" s="37"/>
      <c r="AE270" s="37"/>
    </row>
    <row r="271" spans="1:31" x14ac:dyDescent="0.25">
      <c r="A271" s="37"/>
      <c r="B271" s="37"/>
      <c r="C271" s="37"/>
      <c r="D271" s="37"/>
      <c r="E271" s="37"/>
      <c r="F271" s="37"/>
      <c r="G271" s="37"/>
      <c r="H271" s="37"/>
      <c r="I271" s="37"/>
      <c r="J271" s="37"/>
      <c r="K271" s="37"/>
      <c r="L271" s="37"/>
      <c r="M271" s="37"/>
      <c r="N271" s="37"/>
      <c r="O271" s="37"/>
      <c r="P271" s="37"/>
      <c r="Q271" s="37"/>
      <c r="R271" s="37"/>
      <c r="S271" s="37"/>
      <c r="T271" s="37"/>
      <c r="U271" s="37"/>
      <c r="V271" s="37"/>
      <c r="W271" s="37"/>
      <c r="X271" s="37"/>
      <c r="Y271" s="37"/>
      <c r="Z271" s="37"/>
      <c r="AA271" s="37"/>
      <c r="AB271" s="37"/>
      <c r="AC271" s="37"/>
      <c r="AD271" s="37"/>
      <c r="AE271" s="37"/>
    </row>
    <row r="272" spans="1:31" x14ac:dyDescent="0.25">
      <c r="A272" s="37"/>
      <c r="B272" s="37"/>
      <c r="C272" s="37"/>
      <c r="D272" s="37"/>
      <c r="E272" s="37"/>
      <c r="F272" s="37"/>
      <c r="G272" s="37"/>
      <c r="H272" s="37"/>
      <c r="I272" s="37"/>
      <c r="J272" s="37"/>
      <c r="K272" s="37"/>
      <c r="L272" s="37"/>
      <c r="M272" s="37"/>
      <c r="N272" s="37"/>
      <c r="O272" s="37"/>
      <c r="P272" s="37"/>
      <c r="Q272" s="37"/>
      <c r="R272" s="37"/>
      <c r="S272" s="37"/>
      <c r="T272" s="37"/>
      <c r="U272" s="37"/>
      <c r="V272" s="37"/>
      <c r="W272" s="37"/>
      <c r="X272" s="37"/>
      <c r="Y272" s="37"/>
      <c r="Z272" s="37"/>
      <c r="AA272" s="37"/>
      <c r="AB272" s="37"/>
      <c r="AC272" s="37"/>
      <c r="AD272" s="37"/>
      <c r="AE272" s="37"/>
    </row>
    <row r="273" spans="1:31" x14ac:dyDescent="0.25">
      <c r="A273" s="37"/>
      <c r="B273" s="37"/>
      <c r="C273" s="37"/>
      <c r="D273" s="37"/>
      <c r="E273" s="37"/>
      <c r="F273" s="37"/>
      <c r="G273" s="37"/>
      <c r="H273" s="37"/>
      <c r="I273" s="37"/>
      <c r="J273" s="37"/>
      <c r="K273" s="37"/>
      <c r="L273" s="37"/>
      <c r="M273" s="37"/>
      <c r="N273" s="37"/>
      <c r="O273" s="37"/>
      <c r="P273" s="37"/>
      <c r="Q273" s="37"/>
      <c r="R273" s="37"/>
      <c r="S273" s="37"/>
      <c r="T273" s="37"/>
      <c r="U273" s="37"/>
      <c r="V273" s="37"/>
      <c r="W273" s="37"/>
      <c r="X273" s="37"/>
      <c r="Y273" s="37"/>
      <c r="Z273" s="37"/>
      <c r="AA273" s="37"/>
      <c r="AB273" s="37"/>
      <c r="AC273" s="37"/>
      <c r="AD273" s="37"/>
      <c r="AE273" s="37"/>
    </row>
    <row r="274" spans="1:31" x14ac:dyDescent="0.25">
      <c r="A274" s="37"/>
      <c r="B274" s="37"/>
      <c r="C274" s="37"/>
      <c r="D274" s="37"/>
      <c r="E274" s="37"/>
      <c r="F274" s="37"/>
      <c r="G274" s="37"/>
      <c r="H274" s="37"/>
      <c r="I274" s="37"/>
      <c r="J274" s="37"/>
      <c r="K274" s="37"/>
      <c r="L274" s="37"/>
      <c r="M274" s="37"/>
      <c r="N274" s="37"/>
      <c r="O274" s="37"/>
      <c r="P274" s="37"/>
      <c r="Q274" s="37"/>
      <c r="R274" s="37"/>
      <c r="S274" s="37"/>
      <c r="T274" s="37"/>
      <c r="U274" s="37"/>
      <c r="V274" s="37"/>
      <c r="W274" s="37"/>
      <c r="X274" s="37"/>
      <c r="Y274" s="37"/>
      <c r="Z274" s="37"/>
      <c r="AA274" s="37"/>
      <c r="AB274" s="37"/>
      <c r="AC274" s="37"/>
      <c r="AD274" s="37"/>
      <c r="AE274" s="37"/>
    </row>
    <row r="275" spans="1:31" x14ac:dyDescent="0.25">
      <c r="A275" s="37"/>
      <c r="B275" s="37"/>
      <c r="C275" s="37"/>
      <c r="D275" s="37"/>
      <c r="E275" s="37"/>
      <c r="F275" s="37"/>
      <c r="G275" s="37"/>
      <c r="H275" s="37"/>
      <c r="I275" s="37"/>
      <c r="J275" s="37"/>
      <c r="K275" s="37"/>
      <c r="L275" s="37"/>
      <c r="M275" s="37"/>
      <c r="N275" s="37"/>
      <c r="O275" s="37"/>
      <c r="P275" s="37"/>
      <c r="Q275" s="37"/>
      <c r="R275" s="37"/>
      <c r="S275" s="37"/>
      <c r="T275" s="37"/>
      <c r="U275" s="37"/>
      <c r="V275" s="37"/>
      <c r="W275" s="37"/>
      <c r="X275" s="37"/>
      <c r="Y275" s="37"/>
      <c r="Z275" s="37"/>
      <c r="AA275" s="37"/>
      <c r="AB275" s="37"/>
      <c r="AC275" s="37"/>
      <c r="AD275" s="37"/>
      <c r="AE275" s="37"/>
    </row>
    <row r="276" spans="1:31" x14ac:dyDescent="0.25">
      <c r="A276" s="37"/>
      <c r="B276" s="37"/>
      <c r="C276" s="37"/>
      <c r="D276" s="37"/>
      <c r="E276" s="37"/>
      <c r="F276" s="37"/>
      <c r="G276" s="37"/>
      <c r="H276" s="37"/>
      <c r="I276" s="37"/>
      <c r="J276" s="37"/>
      <c r="K276" s="37"/>
      <c r="L276" s="37"/>
      <c r="M276" s="37"/>
      <c r="N276" s="37"/>
      <c r="O276" s="37"/>
      <c r="P276" s="37"/>
      <c r="Q276" s="37"/>
      <c r="R276" s="37"/>
      <c r="S276" s="37"/>
      <c r="T276" s="37"/>
      <c r="U276" s="37"/>
      <c r="V276" s="37"/>
      <c r="W276" s="37"/>
      <c r="X276" s="37"/>
      <c r="Y276" s="37"/>
      <c r="Z276" s="37"/>
      <c r="AA276" s="37"/>
      <c r="AB276" s="37"/>
      <c r="AC276" s="37"/>
      <c r="AD276" s="37"/>
      <c r="AE276" s="37"/>
    </row>
    <row r="277" spans="1:31" x14ac:dyDescent="0.25">
      <c r="A277" s="37"/>
      <c r="B277" s="37"/>
      <c r="C277" s="37"/>
      <c r="D277" s="37"/>
      <c r="E277" s="37"/>
      <c r="F277" s="37"/>
      <c r="G277" s="37"/>
      <c r="H277" s="37"/>
      <c r="I277" s="37"/>
      <c r="J277" s="37"/>
      <c r="K277" s="37"/>
      <c r="L277" s="37"/>
      <c r="M277" s="37"/>
      <c r="N277" s="37"/>
      <c r="O277" s="37"/>
      <c r="P277" s="37"/>
      <c r="Q277" s="37"/>
      <c r="R277" s="37"/>
      <c r="S277" s="37"/>
      <c r="T277" s="37"/>
      <c r="U277" s="37"/>
      <c r="V277" s="37"/>
      <c r="W277" s="37"/>
      <c r="X277" s="37"/>
      <c r="Y277" s="37"/>
      <c r="Z277" s="37"/>
      <c r="AA277" s="37"/>
      <c r="AB277" s="37"/>
      <c r="AC277" s="37"/>
      <c r="AD277" s="37"/>
      <c r="AE277" s="37"/>
    </row>
    <row r="278" spans="1:31" x14ac:dyDescent="0.25">
      <c r="A278" s="37"/>
      <c r="B278" s="37"/>
      <c r="C278" s="37"/>
      <c r="D278" s="37"/>
      <c r="E278" s="37"/>
      <c r="F278" s="37"/>
      <c r="G278" s="37"/>
      <c r="H278" s="37"/>
      <c r="I278" s="37"/>
      <c r="J278" s="37"/>
      <c r="K278" s="37"/>
      <c r="L278" s="37"/>
      <c r="M278" s="37"/>
      <c r="N278" s="37"/>
      <c r="O278" s="37"/>
      <c r="P278" s="37"/>
      <c r="Q278" s="37"/>
      <c r="R278" s="37"/>
      <c r="S278" s="37"/>
      <c r="T278" s="37"/>
      <c r="U278" s="37"/>
      <c r="V278" s="37"/>
      <c r="W278" s="37"/>
      <c r="X278" s="37"/>
      <c r="Y278" s="37"/>
      <c r="Z278" s="37"/>
      <c r="AA278" s="37"/>
      <c r="AB278" s="37"/>
      <c r="AC278" s="37"/>
      <c r="AD278" s="37"/>
      <c r="AE278" s="37"/>
    </row>
    <row r="279" spans="1:31" x14ac:dyDescent="0.25">
      <c r="A279" s="37"/>
      <c r="B279" s="37"/>
      <c r="C279" s="37"/>
      <c r="D279" s="37"/>
      <c r="E279" s="37"/>
      <c r="F279" s="37"/>
      <c r="G279" s="37"/>
      <c r="H279" s="37"/>
      <c r="I279" s="37"/>
      <c r="J279" s="37"/>
      <c r="K279" s="37"/>
      <c r="L279" s="37"/>
      <c r="M279" s="37"/>
      <c r="N279" s="37"/>
      <c r="O279" s="37"/>
      <c r="P279" s="37"/>
      <c r="Q279" s="37"/>
      <c r="R279" s="37"/>
      <c r="S279" s="37"/>
      <c r="T279" s="37"/>
      <c r="U279" s="37"/>
      <c r="V279" s="37"/>
      <c r="W279" s="37"/>
      <c r="X279" s="37"/>
      <c r="Y279" s="37"/>
      <c r="Z279" s="37"/>
      <c r="AA279" s="37"/>
      <c r="AB279" s="37"/>
      <c r="AC279" s="37"/>
      <c r="AD279" s="37"/>
      <c r="AE279" s="37"/>
    </row>
    <row r="280" spans="1:31" x14ac:dyDescent="0.25">
      <c r="A280" s="37"/>
      <c r="B280" s="37"/>
      <c r="C280" s="37"/>
      <c r="D280" s="37"/>
      <c r="E280" s="37"/>
      <c r="F280" s="37"/>
      <c r="G280" s="37"/>
      <c r="H280" s="37"/>
      <c r="I280" s="37"/>
      <c r="J280" s="37"/>
      <c r="K280" s="37"/>
      <c r="L280" s="37"/>
      <c r="M280" s="37"/>
      <c r="N280" s="37"/>
      <c r="O280" s="37"/>
      <c r="P280" s="37"/>
      <c r="Q280" s="37"/>
      <c r="R280" s="37"/>
      <c r="S280" s="37"/>
      <c r="T280" s="37"/>
      <c r="U280" s="37"/>
      <c r="V280" s="37"/>
      <c r="W280" s="37"/>
      <c r="X280" s="37"/>
      <c r="Y280" s="37"/>
      <c r="Z280" s="37"/>
      <c r="AA280" s="37"/>
      <c r="AB280" s="37"/>
      <c r="AC280" s="37"/>
      <c r="AD280" s="37"/>
      <c r="AE280" s="37"/>
    </row>
    <row r="281" spans="1:31" x14ac:dyDescent="0.25">
      <c r="A281" s="37"/>
      <c r="B281" s="37"/>
      <c r="C281" s="37"/>
      <c r="D281" s="37"/>
      <c r="E281" s="37"/>
      <c r="F281" s="37"/>
      <c r="G281" s="37"/>
      <c r="H281" s="37"/>
      <c r="I281" s="37"/>
      <c r="J281" s="37"/>
      <c r="K281" s="37"/>
      <c r="L281" s="37"/>
      <c r="M281" s="37"/>
      <c r="N281" s="37"/>
      <c r="O281" s="37"/>
      <c r="P281" s="37"/>
      <c r="Q281" s="37"/>
      <c r="R281" s="37"/>
      <c r="S281" s="37"/>
      <c r="T281" s="37"/>
      <c r="U281" s="37"/>
      <c r="V281" s="37"/>
      <c r="W281" s="37"/>
      <c r="X281" s="37"/>
      <c r="Y281" s="37"/>
      <c r="Z281" s="37"/>
      <c r="AA281" s="37"/>
      <c r="AB281" s="37"/>
      <c r="AC281" s="37"/>
      <c r="AD281" s="37"/>
      <c r="AE281" s="37"/>
    </row>
    <row r="282" spans="1:31" x14ac:dyDescent="0.25">
      <c r="A282" s="37"/>
      <c r="B282" s="37"/>
      <c r="C282" s="37"/>
      <c r="D282" s="37"/>
      <c r="E282" s="37"/>
      <c r="F282" s="37"/>
      <c r="G282" s="37"/>
      <c r="H282" s="37"/>
      <c r="I282" s="37"/>
      <c r="J282" s="37"/>
      <c r="K282" s="37"/>
      <c r="L282" s="37"/>
      <c r="M282" s="37"/>
      <c r="N282" s="37"/>
      <c r="O282" s="37"/>
      <c r="P282" s="37"/>
      <c r="Q282" s="37"/>
      <c r="R282" s="37"/>
      <c r="S282" s="37"/>
      <c r="T282" s="37"/>
      <c r="U282" s="37"/>
      <c r="V282" s="37"/>
      <c r="W282" s="37"/>
      <c r="X282" s="37"/>
      <c r="Y282" s="37"/>
      <c r="Z282" s="37"/>
      <c r="AA282" s="37"/>
      <c r="AB282" s="37"/>
      <c r="AC282" s="37"/>
      <c r="AD282" s="37"/>
      <c r="AE282" s="37"/>
    </row>
    <row r="283" spans="1:31" x14ac:dyDescent="0.25">
      <c r="A283" s="37"/>
      <c r="B283" s="37"/>
      <c r="C283" s="37"/>
      <c r="D283" s="37"/>
      <c r="E283" s="37"/>
      <c r="F283" s="37"/>
      <c r="G283" s="37"/>
      <c r="H283" s="37"/>
      <c r="I283" s="37"/>
      <c r="J283" s="37"/>
      <c r="K283" s="37"/>
      <c r="L283" s="37"/>
      <c r="M283" s="37"/>
      <c r="N283" s="37"/>
      <c r="O283" s="37"/>
      <c r="P283" s="37"/>
      <c r="Q283" s="37"/>
      <c r="R283" s="37"/>
      <c r="S283" s="37"/>
      <c r="T283" s="37"/>
      <c r="U283" s="37"/>
      <c r="V283" s="37"/>
      <c r="W283" s="37"/>
      <c r="X283" s="37"/>
      <c r="Y283" s="37"/>
      <c r="Z283" s="37"/>
      <c r="AA283" s="37"/>
      <c r="AB283" s="37"/>
      <c r="AC283" s="37"/>
      <c r="AD283" s="37"/>
      <c r="AE283" s="37"/>
    </row>
    <row r="284" spans="1:31" x14ac:dyDescent="0.25">
      <c r="A284" s="37"/>
      <c r="B284" s="37"/>
      <c r="C284" s="37"/>
      <c r="D284" s="37"/>
      <c r="E284" s="37"/>
      <c r="F284" s="37"/>
      <c r="G284" s="37"/>
      <c r="H284" s="37"/>
      <c r="I284" s="37"/>
      <c r="J284" s="37"/>
      <c r="K284" s="37"/>
      <c r="L284" s="37"/>
      <c r="M284" s="37"/>
      <c r="N284" s="37"/>
      <c r="O284" s="37"/>
      <c r="P284" s="37"/>
      <c r="Q284" s="37"/>
      <c r="R284" s="37"/>
      <c r="S284" s="37"/>
      <c r="T284" s="37"/>
      <c r="U284" s="37"/>
      <c r="V284" s="37"/>
      <c r="W284" s="37"/>
      <c r="X284" s="37"/>
      <c r="Y284" s="37"/>
      <c r="Z284" s="37"/>
      <c r="AA284" s="37"/>
      <c r="AB284" s="37"/>
      <c r="AC284" s="37"/>
      <c r="AD284" s="37"/>
      <c r="AE284" s="37"/>
    </row>
    <row r="285" spans="1:31" x14ac:dyDescent="0.25">
      <c r="A285" s="37"/>
      <c r="B285" s="37"/>
      <c r="C285" s="37"/>
      <c r="D285" s="37"/>
      <c r="E285" s="37"/>
      <c r="F285" s="37"/>
      <c r="G285" s="37"/>
      <c r="H285" s="37"/>
      <c r="I285" s="37"/>
      <c r="J285" s="37"/>
      <c r="K285" s="37"/>
      <c r="L285" s="37"/>
      <c r="M285" s="37"/>
      <c r="N285" s="37"/>
      <c r="O285" s="37"/>
      <c r="P285" s="37"/>
      <c r="Q285" s="37"/>
      <c r="R285" s="37"/>
      <c r="S285" s="37"/>
      <c r="T285" s="37"/>
      <c r="U285" s="37"/>
      <c r="V285" s="37"/>
      <c r="W285" s="37"/>
      <c r="X285" s="37"/>
      <c r="Y285" s="37"/>
      <c r="Z285" s="37"/>
      <c r="AA285" s="37"/>
      <c r="AB285" s="37"/>
      <c r="AC285" s="37"/>
      <c r="AD285" s="37"/>
      <c r="AE285" s="37"/>
    </row>
    <row r="286" spans="1:31" x14ac:dyDescent="0.25">
      <c r="A286" s="37"/>
      <c r="B286" s="37"/>
      <c r="C286" s="37"/>
      <c r="D286" s="37"/>
      <c r="E286" s="37"/>
      <c r="F286" s="37"/>
      <c r="G286" s="37"/>
      <c r="H286" s="37"/>
      <c r="I286" s="37"/>
      <c r="J286" s="37"/>
      <c r="K286" s="37"/>
      <c r="L286" s="37"/>
      <c r="M286" s="37"/>
      <c r="N286" s="37"/>
      <c r="O286" s="37"/>
      <c r="P286" s="37"/>
      <c r="Q286" s="37"/>
      <c r="R286" s="37"/>
      <c r="S286" s="37"/>
      <c r="T286" s="37"/>
      <c r="U286" s="37"/>
      <c r="V286" s="37"/>
      <c r="W286" s="37"/>
      <c r="X286" s="37"/>
      <c r="Y286" s="37"/>
      <c r="Z286" s="37"/>
      <c r="AA286" s="37"/>
      <c r="AB286" s="37"/>
      <c r="AC286" s="37"/>
      <c r="AD286" s="37"/>
      <c r="AE286" s="37"/>
    </row>
    <row r="287" spans="1:31" x14ac:dyDescent="0.25">
      <c r="A287" s="37"/>
      <c r="B287" s="37"/>
      <c r="C287" s="37"/>
      <c r="D287" s="37"/>
      <c r="E287" s="37"/>
      <c r="F287" s="37"/>
      <c r="G287" s="37"/>
      <c r="H287" s="37"/>
      <c r="I287" s="37"/>
      <c r="J287" s="37"/>
      <c r="K287" s="37"/>
      <c r="L287" s="37"/>
      <c r="M287" s="37"/>
      <c r="N287" s="37"/>
      <c r="O287" s="37"/>
      <c r="P287" s="37"/>
      <c r="Q287" s="37"/>
      <c r="R287" s="37"/>
      <c r="S287" s="37"/>
      <c r="T287" s="37"/>
      <c r="U287" s="37"/>
      <c r="V287" s="37"/>
      <c r="W287" s="37"/>
      <c r="X287" s="37"/>
      <c r="Y287" s="37"/>
      <c r="Z287" s="37"/>
      <c r="AA287" s="37"/>
      <c r="AB287" s="37"/>
      <c r="AC287" s="37"/>
      <c r="AD287" s="37"/>
      <c r="AE287" s="37"/>
    </row>
    <row r="288" spans="1:31" x14ac:dyDescent="0.25">
      <c r="A288" s="37"/>
      <c r="B288" s="37"/>
      <c r="C288" s="37"/>
      <c r="D288" s="37"/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  <c r="P288" s="37"/>
      <c r="Q288" s="37"/>
      <c r="R288" s="37"/>
      <c r="S288" s="37"/>
      <c r="T288" s="37"/>
      <c r="U288" s="37"/>
      <c r="V288" s="37"/>
      <c r="W288" s="37"/>
      <c r="X288" s="37"/>
      <c r="Y288" s="37"/>
      <c r="Z288" s="37"/>
      <c r="AA288" s="37"/>
      <c r="AB288" s="37"/>
      <c r="AC288" s="37"/>
      <c r="AD288" s="37"/>
      <c r="AE288" s="37"/>
    </row>
    <row r="289" spans="1:31" x14ac:dyDescent="0.25">
      <c r="A289" s="37"/>
      <c r="B289" s="37"/>
      <c r="C289" s="37"/>
      <c r="D289" s="37"/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  <c r="P289" s="37"/>
      <c r="Q289" s="37"/>
      <c r="R289" s="37"/>
      <c r="S289" s="37"/>
      <c r="T289" s="37"/>
      <c r="U289" s="37"/>
      <c r="V289" s="37"/>
      <c r="W289" s="37"/>
      <c r="X289" s="37"/>
      <c r="Y289" s="37"/>
      <c r="Z289" s="37"/>
      <c r="AA289" s="37"/>
      <c r="AB289" s="37"/>
      <c r="AC289" s="37"/>
      <c r="AD289" s="37"/>
      <c r="AE289" s="37"/>
    </row>
    <row r="290" spans="1:31" x14ac:dyDescent="0.25">
      <c r="A290" s="37"/>
      <c r="B290" s="37"/>
      <c r="C290" s="37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  <c r="P290" s="37"/>
      <c r="Q290" s="37"/>
      <c r="R290" s="37"/>
      <c r="S290" s="37"/>
      <c r="T290" s="37"/>
      <c r="U290" s="37"/>
      <c r="V290" s="37"/>
      <c r="W290" s="37"/>
      <c r="X290" s="37"/>
      <c r="Y290" s="37"/>
      <c r="Z290" s="37"/>
      <c r="AA290" s="37"/>
      <c r="AB290" s="37"/>
      <c r="AC290" s="37"/>
      <c r="AD290" s="37"/>
      <c r="AE290" s="37"/>
    </row>
    <row r="291" spans="1:31" x14ac:dyDescent="0.25">
      <c r="A291" s="37"/>
      <c r="B291" s="37"/>
      <c r="C291" s="37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  <c r="P291" s="37"/>
      <c r="Q291" s="37"/>
      <c r="R291" s="37"/>
      <c r="S291" s="37"/>
      <c r="T291" s="37"/>
      <c r="U291" s="37"/>
      <c r="V291" s="37"/>
      <c r="W291" s="37"/>
      <c r="X291" s="37"/>
      <c r="Y291" s="37"/>
      <c r="Z291" s="37"/>
      <c r="AA291" s="37"/>
      <c r="AB291" s="37"/>
      <c r="AC291" s="37"/>
      <c r="AD291" s="37"/>
      <c r="AE291" s="37"/>
    </row>
    <row r="292" spans="1:31" x14ac:dyDescent="0.25">
      <c r="A292" s="37"/>
      <c r="B292" s="37"/>
      <c r="C292" s="37"/>
      <c r="D292" s="37"/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  <c r="P292" s="37"/>
      <c r="Q292" s="37"/>
      <c r="R292" s="37"/>
      <c r="S292" s="37"/>
      <c r="T292" s="37"/>
      <c r="U292" s="37"/>
      <c r="V292" s="37"/>
      <c r="W292" s="37"/>
      <c r="X292" s="37"/>
      <c r="Y292" s="37"/>
      <c r="Z292" s="37"/>
      <c r="AA292" s="37"/>
      <c r="AB292" s="37"/>
      <c r="AC292" s="37"/>
      <c r="AD292" s="37"/>
      <c r="AE292" s="37"/>
    </row>
    <row r="293" spans="1:31" x14ac:dyDescent="0.25">
      <c r="A293" s="37"/>
      <c r="B293" s="37"/>
      <c r="C293" s="37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  <c r="P293" s="37"/>
      <c r="Q293" s="37"/>
      <c r="R293" s="37"/>
      <c r="S293" s="37"/>
      <c r="T293" s="37"/>
      <c r="U293" s="37"/>
      <c r="V293" s="37"/>
      <c r="W293" s="37"/>
      <c r="X293" s="37"/>
      <c r="Y293" s="37"/>
      <c r="Z293" s="37"/>
      <c r="AA293" s="37"/>
      <c r="AB293" s="37"/>
      <c r="AC293" s="37"/>
      <c r="AD293" s="37"/>
      <c r="AE293" s="37"/>
    </row>
    <row r="294" spans="1:31" x14ac:dyDescent="0.25">
      <c r="A294" s="37"/>
      <c r="B294" s="37"/>
      <c r="C294" s="37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  <c r="Q294" s="37"/>
      <c r="R294" s="37"/>
      <c r="S294" s="37"/>
      <c r="T294" s="37"/>
      <c r="U294" s="37"/>
      <c r="V294" s="37"/>
      <c r="W294" s="37"/>
      <c r="X294" s="37"/>
      <c r="Y294" s="37"/>
      <c r="Z294" s="37"/>
      <c r="AA294" s="37"/>
      <c r="AB294" s="37"/>
      <c r="AC294" s="37"/>
      <c r="AD294" s="37"/>
      <c r="AE294" s="37"/>
    </row>
    <row r="295" spans="1:31" x14ac:dyDescent="0.25">
      <c r="A295" s="37"/>
      <c r="B295" s="37"/>
      <c r="C295" s="37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  <c r="Q295" s="37"/>
      <c r="R295" s="37"/>
      <c r="S295" s="37"/>
      <c r="T295" s="37"/>
      <c r="U295" s="37"/>
      <c r="V295" s="37"/>
      <c r="W295" s="37"/>
      <c r="X295" s="37"/>
      <c r="Y295" s="37"/>
      <c r="Z295" s="37"/>
      <c r="AA295" s="37"/>
      <c r="AB295" s="37"/>
      <c r="AC295" s="37"/>
      <c r="AD295" s="37"/>
      <c r="AE295" s="37"/>
    </row>
    <row r="296" spans="1:31" x14ac:dyDescent="0.25">
      <c r="A296" s="37"/>
      <c r="B296" s="37"/>
      <c r="C296" s="37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  <c r="Q296" s="37"/>
      <c r="R296" s="37"/>
      <c r="S296" s="37"/>
      <c r="T296" s="37"/>
      <c r="U296" s="37"/>
      <c r="V296" s="37"/>
      <c r="W296" s="37"/>
      <c r="X296" s="37"/>
      <c r="Y296" s="37"/>
      <c r="Z296" s="37"/>
      <c r="AA296" s="37"/>
      <c r="AB296" s="37"/>
      <c r="AC296" s="37"/>
      <c r="AD296" s="37"/>
      <c r="AE296" s="37"/>
    </row>
    <row r="297" spans="1:31" x14ac:dyDescent="0.25">
      <c r="A297" s="37"/>
      <c r="B297" s="37"/>
      <c r="C297" s="37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  <c r="Q297" s="37"/>
      <c r="R297" s="37"/>
      <c r="S297" s="37"/>
      <c r="T297" s="37"/>
      <c r="U297" s="37"/>
      <c r="V297" s="37"/>
      <c r="W297" s="37"/>
      <c r="X297" s="37"/>
      <c r="Y297" s="37"/>
      <c r="Z297" s="37"/>
      <c r="AA297" s="37"/>
      <c r="AB297" s="37"/>
      <c r="AC297" s="37"/>
      <c r="AD297" s="37"/>
      <c r="AE297" s="37"/>
    </row>
    <row r="298" spans="1:31" x14ac:dyDescent="0.25">
      <c r="A298" s="37"/>
      <c r="B298" s="37"/>
      <c r="C298" s="37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  <c r="Q298" s="37"/>
      <c r="R298" s="37"/>
      <c r="S298" s="37"/>
      <c r="T298" s="37"/>
      <c r="U298" s="37"/>
      <c r="V298" s="37"/>
      <c r="W298" s="37"/>
      <c r="X298" s="37"/>
      <c r="Y298" s="37"/>
      <c r="Z298" s="37"/>
      <c r="AA298" s="37"/>
      <c r="AB298" s="37"/>
      <c r="AC298" s="37"/>
      <c r="AD298" s="37"/>
      <c r="AE298" s="37"/>
    </row>
    <row r="299" spans="1:31" x14ac:dyDescent="0.25">
      <c r="A299" s="37"/>
      <c r="B299" s="37"/>
      <c r="C299" s="37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  <c r="Q299" s="37"/>
      <c r="R299" s="37"/>
      <c r="S299" s="37"/>
      <c r="T299" s="37"/>
      <c r="U299" s="37"/>
      <c r="V299" s="37"/>
      <c r="W299" s="37"/>
      <c r="X299" s="37"/>
      <c r="Y299" s="37"/>
      <c r="Z299" s="37"/>
      <c r="AA299" s="37"/>
      <c r="AB299" s="37"/>
      <c r="AC299" s="37"/>
      <c r="AD299" s="37"/>
      <c r="AE299" s="37"/>
    </row>
    <row r="300" spans="1:31" x14ac:dyDescent="0.25">
      <c r="A300" s="37"/>
      <c r="B300" s="37"/>
      <c r="C300" s="37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  <c r="Q300" s="37"/>
      <c r="R300" s="37"/>
      <c r="S300" s="37"/>
      <c r="T300" s="37"/>
      <c r="U300" s="37"/>
      <c r="V300" s="37"/>
      <c r="W300" s="37"/>
      <c r="X300" s="37"/>
      <c r="Y300" s="37"/>
      <c r="Z300" s="37"/>
      <c r="AA300" s="37"/>
      <c r="AB300" s="37"/>
      <c r="AC300" s="37"/>
      <c r="AD300" s="37"/>
      <c r="AE300" s="37"/>
    </row>
    <row r="301" spans="1:31" x14ac:dyDescent="0.25">
      <c r="A301" s="37"/>
      <c r="B301" s="37"/>
      <c r="C301" s="37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  <c r="Q301" s="37"/>
      <c r="R301" s="37"/>
      <c r="S301" s="37"/>
      <c r="T301" s="37"/>
      <c r="U301" s="37"/>
      <c r="V301" s="37"/>
      <c r="W301" s="37"/>
      <c r="X301" s="37"/>
      <c r="Y301" s="37"/>
      <c r="Z301" s="37"/>
      <c r="AA301" s="37"/>
      <c r="AB301" s="37"/>
      <c r="AC301" s="37"/>
      <c r="AD301" s="37"/>
      <c r="AE301" s="37"/>
    </row>
    <row r="302" spans="1:31" x14ac:dyDescent="0.25">
      <c r="A302" s="37"/>
      <c r="B302" s="37"/>
      <c r="C302" s="37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  <c r="Q302" s="37"/>
      <c r="R302" s="37"/>
      <c r="S302" s="37"/>
      <c r="T302" s="37"/>
      <c r="U302" s="37"/>
      <c r="V302" s="37"/>
      <c r="W302" s="37"/>
      <c r="X302" s="37"/>
      <c r="Y302" s="37"/>
      <c r="Z302" s="37"/>
      <c r="AA302" s="37"/>
      <c r="AB302" s="37"/>
      <c r="AC302" s="37"/>
      <c r="AD302" s="37"/>
      <c r="AE302" s="37"/>
    </row>
    <row r="303" spans="1:31" x14ac:dyDescent="0.25">
      <c r="A303" s="37"/>
      <c r="B303" s="37"/>
      <c r="C303" s="37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  <c r="Q303" s="37"/>
      <c r="R303" s="37"/>
      <c r="S303" s="37"/>
      <c r="T303" s="37"/>
      <c r="U303" s="37"/>
      <c r="V303" s="37"/>
      <c r="W303" s="37"/>
      <c r="X303" s="37"/>
      <c r="Y303" s="37"/>
      <c r="Z303" s="37"/>
      <c r="AA303" s="37"/>
      <c r="AB303" s="37"/>
      <c r="AC303" s="37"/>
      <c r="AD303" s="37"/>
      <c r="AE303" s="37"/>
    </row>
    <row r="304" spans="1:31" x14ac:dyDescent="0.25">
      <c r="A304" s="37"/>
      <c r="B304" s="37"/>
      <c r="C304" s="37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7"/>
      <c r="R304" s="37"/>
      <c r="S304" s="37"/>
      <c r="T304" s="37"/>
      <c r="U304" s="37"/>
      <c r="V304" s="37"/>
      <c r="W304" s="37"/>
      <c r="X304" s="37"/>
      <c r="Y304" s="37"/>
      <c r="Z304" s="37"/>
      <c r="AA304" s="37"/>
      <c r="AB304" s="37"/>
      <c r="AC304" s="37"/>
      <c r="AD304" s="37"/>
      <c r="AE304" s="37"/>
    </row>
    <row r="305" spans="1:31" x14ac:dyDescent="0.25">
      <c r="A305" s="37"/>
      <c r="B305" s="37"/>
      <c r="C305" s="37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  <c r="Q305" s="37"/>
      <c r="R305" s="37"/>
      <c r="S305" s="37"/>
      <c r="T305" s="37"/>
      <c r="U305" s="37"/>
      <c r="V305" s="37"/>
      <c r="W305" s="37"/>
      <c r="X305" s="37"/>
      <c r="Y305" s="37"/>
      <c r="Z305" s="37"/>
      <c r="AA305" s="37"/>
      <c r="AB305" s="37"/>
      <c r="AC305" s="37"/>
      <c r="AD305" s="37"/>
      <c r="AE305" s="37"/>
    </row>
    <row r="306" spans="1:31" x14ac:dyDescent="0.25">
      <c r="A306" s="37"/>
      <c r="B306" s="37"/>
      <c r="C306" s="37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7"/>
      <c r="R306" s="37"/>
      <c r="S306" s="37"/>
      <c r="T306" s="37"/>
      <c r="U306" s="37"/>
      <c r="V306" s="37"/>
      <c r="W306" s="37"/>
      <c r="X306" s="37"/>
      <c r="Y306" s="37"/>
      <c r="Z306" s="37"/>
      <c r="AA306" s="37"/>
      <c r="AB306" s="37"/>
      <c r="AC306" s="37"/>
      <c r="AD306" s="37"/>
      <c r="AE306" s="37"/>
    </row>
    <row r="307" spans="1:31" x14ac:dyDescent="0.25">
      <c r="A307" s="37"/>
      <c r="B307" s="37"/>
      <c r="C307" s="37"/>
      <c r="D307" s="37"/>
      <c r="E307" s="37"/>
      <c r="F307" s="37"/>
      <c r="G307" s="37"/>
      <c r="H307" s="37"/>
      <c r="I307" s="37"/>
      <c r="J307" s="37"/>
      <c r="K307" s="37"/>
      <c r="L307" s="37"/>
      <c r="M307" s="37"/>
      <c r="N307" s="37"/>
      <c r="O307" s="37"/>
      <c r="P307" s="37"/>
      <c r="Q307" s="37"/>
      <c r="R307" s="37"/>
      <c r="S307" s="37"/>
      <c r="T307" s="37"/>
      <c r="U307" s="37"/>
      <c r="V307" s="37"/>
      <c r="W307" s="37"/>
      <c r="X307" s="37"/>
      <c r="Y307" s="37"/>
      <c r="Z307" s="37"/>
      <c r="AA307" s="37"/>
      <c r="AB307" s="37"/>
      <c r="AC307" s="37"/>
      <c r="AD307" s="37"/>
      <c r="AE307" s="37"/>
    </row>
    <row r="308" spans="1:31" x14ac:dyDescent="0.25">
      <c r="A308" s="37"/>
      <c r="B308" s="37"/>
      <c r="C308" s="37"/>
      <c r="D308" s="37"/>
      <c r="E308" s="37"/>
      <c r="F308" s="37"/>
      <c r="G308" s="37"/>
      <c r="H308" s="37"/>
      <c r="I308" s="37"/>
      <c r="J308" s="37"/>
      <c r="K308" s="37"/>
      <c r="L308" s="37"/>
      <c r="M308" s="37"/>
      <c r="N308" s="37"/>
      <c r="O308" s="37"/>
      <c r="P308" s="37"/>
      <c r="Q308" s="37"/>
      <c r="R308" s="37"/>
      <c r="S308" s="37"/>
      <c r="T308" s="37"/>
      <c r="U308" s="37"/>
      <c r="V308" s="37"/>
      <c r="W308" s="37"/>
      <c r="X308" s="37"/>
      <c r="Y308" s="37"/>
      <c r="Z308" s="37"/>
      <c r="AA308" s="37"/>
      <c r="AB308" s="37"/>
      <c r="AC308" s="37"/>
      <c r="AD308" s="37"/>
      <c r="AE308" s="37"/>
    </row>
    <row r="309" spans="1:31" x14ac:dyDescent="0.25">
      <c r="A309" s="37"/>
      <c r="B309" s="37"/>
      <c r="C309" s="37"/>
      <c r="D309" s="37"/>
      <c r="E309" s="37"/>
      <c r="F309" s="37"/>
      <c r="G309" s="37"/>
      <c r="H309" s="37"/>
      <c r="I309" s="37"/>
      <c r="J309" s="37"/>
      <c r="K309" s="37"/>
      <c r="L309" s="37"/>
      <c r="M309" s="37"/>
      <c r="N309" s="37"/>
      <c r="O309" s="37"/>
      <c r="P309" s="37"/>
      <c r="Q309" s="37"/>
      <c r="R309" s="37"/>
      <c r="S309" s="37"/>
      <c r="T309" s="37"/>
      <c r="U309" s="37"/>
      <c r="V309" s="37"/>
      <c r="W309" s="37"/>
      <c r="X309" s="37"/>
      <c r="Y309" s="37"/>
      <c r="Z309" s="37"/>
      <c r="AA309" s="37"/>
      <c r="AB309" s="37"/>
      <c r="AC309" s="37"/>
      <c r="AD309" s="37"/>
      <c r="AE309" s="37"/>
    </row>
    <row r="310" spans="1:31" x14ac:dyDescent="0.25">
      <c r="A310" s="37"/>
      <c r="B310" s="37"/>
      <c r="C310" s="37"/>
      <c r="D310" s="37"/>
      <c r="E310" s="37"/>
      <c r="F310" s="37"/>
      <c r="G310" s="37"/>
      <c r="H310" s="37"/>
      <c r="I310" s="37"/>
      <c r="J310" s="37"/>
      <c r="K310" s="37"/>
      <c r="L310" s="37"/>
      <c r="M310" s="37"/>
      <c r="N310" s="37"/>
      <c r="O310" s="37"/>
      <c r="P310" s="37"/>
      <c r="Q310" s="37"/>
      <c r="R310" s="37"/>
      <c r="S310" s="37"/>
      <c r="T310" s="37"/>
      <c r="U310" s="37"/>
      <c r="V310" s="37"/>
      <c r="W310" s="37"/>
      <c r="X310" s="37"/>
      <c r="Y310" s="37"/>
      <c r="Z310" s="37"/>
      <c r="AA310" s="37"/>
      <c r="AB310" s="37"/>
      <c r="AC310" s="37"/>
      <c r="AD310" s="37"/>
      <c r="AE310" s="37"/>
    </row>
    <row r="311" spans="1:31" x14ac:dyDescent="0.25">
      <c r="A311" s="37"/>
      <c r="B311" s="37"/>
      <c r="C311" s="37"/>
      <c r="D311" s="37"/>
      <c r="E311" s="37"/>
      <c r="F311" s="37"/>
      <c r="G311" s="37"/>
      <c r="H311" s="37"/>
      <c r="I311" s="37"/>
      <c r="J311" s="37"/>
      <c r="K311" s="37"/>
      <c r="L311" s="37"/>
      <c r="M311" s="37"/>
      <c r="N311" s="37"/>
      <c r="O311" s="37"/>
      <c r="P311" s="37"/>
      <c r="Q311" s="37"/>
      <c r="R311" s="37"/>
      <c r="S311" s="37"/>
      <c r="T311" s="37"/>
      <c r="U311" s="37"/>
      <c r="V311" s="37"/>
      <c r="W311" s="37"/>
      <c r="X311" s="37"/>
      <c r="Y311" s="37"/>
      <c r="Z311" s="37"/>
      <c r="AA311" s="37"/>
      <c r="AB311" s="37"/>
      <c r="AC311" s="37"/>
      <c r="AD311" s="37"/>
      <c r="AE311" s="37"/>
    </row>
    <row r="312" spans="1:31" x14ac:dyDescent="0.25">
      <c r="A312" s="37"/>
      <c r="B312" s="37"/>
      <c r="C312" s="37"/>
      <c r="D312" s="37"/>
      <c r="E312" s="37"/>
      <c r="F312" s="37"/>
      <c r="G312" s="37"/>
      <c r="H312" s="37"/>
      <c r="I312" s="37"/>
      <c r="J312" s="37"/>
      <c r="K312" s="37"/>
      <c r="L312" s="37"/>
      <c r="M312" s="37"/>
      <c r="N312" s="37"/>
      <c r="O312" s="37"/>
      <c r="P312" s="37"/>
      <c r="Q312" s="37"/>
      <c r="R312" s="37"/>
      <c r="S312" s="37"/>
      <c r="T312" s="37"/>
      <c r="U312" s="37"/>
      <c r="V312" s="37"/>
      <c r="W312" s="37"/>
      <c r="X312" s="37"/>
      <c r="Y312" s="37"/>
      <c r="Z312" s="37"/>
      <c r="AA312" s="37"/>
      <c r="AB312" s="37"/>
      <c r="AC312" s="37"/>
      <c r="AD312" s="37"/>
      <c r="AE312" s="37"/>
    </row>
    <row r="313" spans="1:31" x14ac:dyDescent="0.25">
      <c r="A313" s="37"/>
      <c r="B313" s="37"/>
      <c r="C313" s="37"/>
      <c r="D313" s="37"/>
      <c r="E313" s="37"/>
      <c r="F313" s="37"/>
      <c r="G313" s="37"/>
      <c r="H313" s="37"/>
      <c r="I313" s="37"/>
      <c r="J313" s="37"/>
      <c r="K313" s="37"/>
      <c r="L313" s="37"/>
      <c r="M313" s="37"/>
      <c r="N313" s="37"/>
      <c r="O313" s="37"/>
      <c r="P313" s="37"/>
      <c r="Q313" s="37"/>
      <c r="R313" s="37"/>
      <c r="S313" s="37"/>
      <c r="T313" s="37"/>
      <c r="U313" s="37"/>
      <c r="V313" s="37"/>
      <c r="W313" s="37"/>
      <c r="X313" s="37"/>
      <c r="Y313" s="37"/>
      <c r="Z313" s="37"/>
      <c r="AA313" s="37"/>
      <c r="AB313" s="37"/>
      <c r="AC313" s="37"/>
      <c r="AD313" s="37"/>
      <c r="AE313" s="37"/>
    </row>
    <row r="314" spans="1:31" x14ac:dyDescent="0.25">
      <c r="A314" s="37"/>
      <c r="B314" s="37"/>
      <c r="C314" s="37"/>
      <c r="D314" s="37"/>
      <c r="E314" s="37"/>
      <c r="F314" s="37"/>
      <c r="G314" s="37"/>
      <c r="H314" s="37"/>
      <c r="I314" s="37"/>
      <c r="J314" s="37"/>
      <c r="K314" s="37"/>
      <c r="L314" s="37"/>
      <c r="M314" s="37"/>
      <c r="N314" s="37"/>
      <c r="O314" s="37"/>
      <c r="P314" s="37"/>
      <c r="Q314" s="37"/>
      <c r="R314" s="37"/>
      <c r="S314" s="37"/>
      <c r="T314" s="37"/>
      <c r="U314" s="37"/>
      <c r="V314" s="37"/>
      <c r="W314" s="37"/>
      <c r="X314" s="37"/>
      <c r="Y314" s="37"/>
      <c r="Z314" s="37"/>
      <c r="AA314" s="37"/>
      <c r="AB314" s="37"/>
      <c r="AC314" s="37"/>
      <c r="AD314" s="37"/>
      <c r="AE314" s="37"/>
    </row>
    <row r="315" spans="1:31" x14ac:dyDescent="0.25">
      <c r="A315" s="37"/>
      <c r="B315" s="37"/>
      <c r="C315" s="37"/>
      <c r="D315" s="37"/>
      <c r="E315" s="37"/>
      <c r="F315" s="37"/>
      <c r="G315" s="37"/>
      <c r="H315" s="37"/>
      <c r="I315" s="37"/>
      <c r="J315" s="37"/>
      <c r="K315" s="37"/>
      <c r="L315" s="37"/>
      <c r="M315" s="37"/>
      <c r="N315" s="37"/>
      <c r="O315" s="37"/>
      <c r="P315" s="37"/>
      <c r="Q315" s="37"/>
      <c r="R315" s="37"/>
      <c r="S315" s="37"/>
      <c r="T315" s="37"/>
      <c r="U315" s="37"/>
      <c r="V315" s="37"/>
      <c r="W315" s="37"/>
      <c r="X315" s="37"/>
      <c r="Y315" s="37"/>
      <c r="Z315" s="37"/>
      <c r="AA315" s="37"/>
      <c r="AB315" s="37"/>
      <c r="AC315" s="37"/>
      <c r="AD315" s="37"/>
      <c r="AE315" s="37"/>
    </row>
    <row r="316" spans="1:31" x14ac:dyDescent="0.25">
      <c r="A316" s="37"/>
      <c r="B316" s="37"/>
      <c r="C316" s="37"/>
      <c r="D316" s="37"/>
      <c r="E316" s="37"/>
      <c r="F316" s="37"/>
      <c r="G316" s="37"/>
      <c r="H316" s="37"/>
      <c r="I316" s="37"/>
      <c r="J316" s="37"/>
      <c r="K316" s="37"/>
      <c r="L316" s="37"/>
      <c r="M316" s="37"/>
      <c r="N316" s="37"/>
      <c r="O316" s="37"/>
      <c r="P316" s="37"/>
      <c r="Q316" s="37"/>
      <c r="R316" s="37"/>
      <c r="S316" s="37"/>
      <c r="T316" s="37"/>
      <c r="U316" s="37"/>
      <c r="V316" s="37"/>
      <c r="W316" s="37"/>
      <c r="X316" s="37"/>
      <c r="Y316" s="37"/>
      <c r="Z316" s="37"/>
      <c r="AA316" s="37"/>
      <c r="AB316" s="37"/>
      <c r="AC316" s="37"/>
      <c r="AD316" s="37"/>
      <c r="AE316" s="37"/>
    </row>
    <row r="317" spans="1:31" x14ac:dyDescent="0.25">
      <c r="A317" s="37"/>
      <c r="B317" s="37"/>
      <c r="C317" s="37"/>
      <c r="D317" s="37"/>
      <c r="E317" s="37"/>
      <c r="F317" s="37"/>
      <c r="G317" s="37"/>
      <c r="H317" s="37"/>
      <c r="I317" s="37"/>
      <c r="J317" s="37"/>
      <c r="K317" s="37"/>
      <c r="L317" s="37"/>
      <c r="M317" s="37"/>
      <c r="N317" s="37"/>
      <c r="O317" s="37"/>
      <c r="P317" s="37"/>
      <c r="Q317" s="37"/>
      <c r="R317" s="37"/>
      <c r="S317" s="37"/>
      <c r="T317" s="37"/>
      <c r="U317" s="37"/>
      <c r="V317" s="37"/>
      <c r="W317" s="37"/>
      <c r="X317" s="37"/>
      <c r="Y317" s="37"/>
      <c r="Z317" s="37"/>
      <c r="AA317" s="37"/>
      <c r="AB317" s="37"/>
      <c r="AC317" s="37"/>
      <c r="AD317" s="37"/>
      <c r="AE317" s="37"/>
    </row>
    <row r="318" spans="1:31" x14ac:dyDescent="0.25">
      <c r="A318" s="37"/>
      <c r="B318" s="37"/>
      <c r="C318" s="37"/>
      <c r="D318" s="37"/>
      <c r="E318" s="37"/>
      <c r="F318" s="37"/>
      <c r="G318" s="37"/>
      <c r="H318" s="37"/>
      <c r="I318" s="37"/>
      <c r="J318" s="37"/>
      <c r="K318" s="37"/>
      <c r="L318" s="37"/>
      <c r="M318" s="37"/>
      <c r="N318" s="37"/>
      <c r="O318" s="37"/>
      <c r="P318" s="37"/>
      <c r="Q318" s="37"/>
      <c r="R318" s="37"/>
      <c r="S318" s="37"/>
      <c r="T318" s="37"/>
      <c r="U318" s="37"/>
      <c r="V318" s="37"/>
      <c r="W318" s="37"/>
      <c r="X318" s="37"/>
      <c r="Y318" s="37"/>
      <c r="Z318" s="37"/>
      <c r="AA318" s="37"/>
      <c r="AB318" s="37"/>
      <c r="AC318" s="37"/>
      <c r="AD318" s="37"/>
      <c r="AE318" s="37"/>
    </row>
    <row r="319" spans="1:31" x14ac:dyDescent="0.25">
      <c r="A319" s="37"/>
      <c r="B319" s="37"/>
      <c r="C319" s="37"/>
      <c r="D319" s="37"/>
      <c r="E319" s="37"/>
      <c r="F319" s="37"/>
      <c r="G319" s="37"/>
      <c r="H319" s="37"/>
      <c r="I319" s="37"/>
      <c r="J319" s="37"/>
      <c r="K319" s="37"/>
      <c r="L319" s="37"/>
      <c r="M319" s="37"/>
      <c r="N319" s="37"/>
      <c r="O319" s="37"/>
      <c r="P319" s="37"/>
      <c r="Q319" s="37"/>
      <c r="R319" s="37"/>
      <c r="S319" s="37"/>
      <c r="T319" s="37"/>
      <c r="U319" s="37"/>
      <c r="V319" s="37"/>
      <c r="W319" s="37"/>
      <c r="X319" s="37"/>
      <c r="Y319" s="37"/>
      <c r="Z319" s="37"/>
      <c r="AA319" s="37"/>
      <c r="AB319" s="37"/>
      <c r="AC319" s="37"/>
      <c r="AD319" s="37"/>
      <c r="AE319" s="37"/>
    </row>
    <row r="320" spans="1:31" x14ac:dyDescent="0.25">
      <c r="A320" s="37"/>
      <c r="B320" s="37"/>
      <c r="C320" s="37"/>
      <c r="D320" s="37"/>
      <c r="E320" s="37"/>
      <c r="F320" s="37"/>
      <c r="G320" s="37"/>
      <c r="H320" s="37"/>
      <c r="I320" s="37"/>
      <c r="J320" s="37"/>
      <c r="K320" s="37"/>
      <c r="L320" s="37"/>
      <c r="M320" s="37"/>
      <c r="N320" s="37"/>
      <c r="O320" s="37"/>
      <c r="P320" s="37"/>
      <c r="Q320" s="37"/>
      <c r="R320" s="37"/>
      <c r="S320" s="37"/>
      <c r="T320" s="37"/>
      <c r="U320" s="37"/>
      <c r="V320" s="37"/>
      <c r="W320" s="37"/>
      <c r="X320" s="37"/>
      <c r="Y320" s="37"/>
      <c r="Z320" s="37"/>
      <c r="AA320" s="37"/>
      <c r="AB320" s="37"/>
      <c r="AC320" s="37"/>
      <c r="AD320" s="37"/>
      <c r="AE320" s="37"/>
    </row>
    <row r="321" spans="1:31" x14ac:dyDescent="0.25">
      <c r="A321" s="37"/>
      <c r="B321" s="37"/>
      <c r="C321" s="37"/>
      <c r="D321" s="37"/>
      <c r="E321" s="37"/>
      <c r="F321" s="37"/>
      <c r="G321" s="37"/>
      <c r="H321" s="37"/>
      <c r="I321" s="37"/>
      <c r="J321" s="37"/>
      <c r="K321" s="37"/>
      <c r="L321" s="37"/>
      <c r="M321" s="37"/>
      <c r="N321" s="37"/>
      <c r="O321" s="37"/>
      <c r="P321" s="37"/>
      <c r="Q321" s="37"/>
      <c r="R321" s="37"/>
      <c r="S321" s="37"/>
      <c r="T321" s="37"/>
      <c r="U321" s="37"/>
      <c r="V321" s="37"/>
      <c r="W321" s="37"/>
      <c r="X321" s="37"/>
      <c r="Y321" s="37"/>
      <c r="Z321" s="37"/>
      <c r="AA321" s="37"/>
      <c r="AB321" s="37"/>
      <c r="AC321" s="37"/>
      <c r="AD321" s="37"/>
      <c r="AE321" s="37"/>
    </row>
    <row r="322" spans="1:31" x14ac:dyDescent="0.25">
      <c r="A322" s="37"/>
      <c r="B322" s="37"/>
      <c r="C322" s="37"/>
      <c r="D322" s="37"/>
      <c r="E322" s="37"/>
      <c r="F322" s="37"/>
      <c r="G322" s="37"/>
      <c r="H322" s="37"/>
      <c r="I322" s="37"/>
      <c r="J322" s="37"/>
      <c r="K322" s="37"/>
      <c r="L322" s="37"/>
      <c r="M322" s="37"/>
      <c r="N322" s="37"/>
      <c r="O322" s="37"/>
      <c r="P322" s="37"/>
      <c r="Q322" s="37"/>
      <c r="R322" s="37"/>
      <c r="S322" s="37"/>
      <c r="T322" s="37"/>
      <c r="U322" s="37"/>
      <c r="V322" s="37"/>
      <c r="W322" s="37"/>
      <c r="X322" s="37"/>
      <c r="Y322" s="37"/>
      <c r="Z322" s="37"/>
      <c r="AA322" s="37"/>
      <c r="AB322" s="37"/>
      <c r="AC322" s="37"/>
      <c r="AD322" s="37"/>
      <c r="AE322" s="37"/>
    </row>
    <row r="323" spans="1:31" x14ac:dyDescent="0.25">
      <c r="A323" s="37"/>
      <c r="B323" s="37"/>
      <c r="C323" s="37"/>
      <c r="D323" s="37"/>
      <c r="E323" s="37"/>
      <c r="F323" s="37"/>
      <c r="G323" s="37"/>
      <c r="H323" s="37"/>
      <c r="I323" s="37"/>
      <c r="J323" s="37"/>
      <c r="K323" s="37"/>
      <c r="L323" s="37"/>
      <c r="M323" s="37"/>
      <c r="N323" s="37"/>
      <c r="O323" s="37"/>
      <c r="P323" s="37"/>
      <c r="Q323" s="37"/>
      <c r="R323" s="37"/>
      <c r="S323" s="37"/>
      <c r="T323" s="37"/>
      <c r="U323" s="37"/>
      <c r="V323" s="37"/>
      <c r="W323" s="37"/>
      <c r="X323" s="37"/>
      <c r="Y323" s="37"/>
      <c r="Z323" s="37"/>
      <c r="AA323" s="37"/>
      <c r="AB323" s="37"/>
      <c r="AC323" s="37"/>
      <c r="AD323" s="37"/>
      <c r="AE323" s="37"/>
    </row>
    <row r="324" spans="1:31" x14ac:dyDescent="0.25">
      <c r="A324" s="37"/>
      <c r="B324" s="37"/>
      <c r="C324" s="37"/>
      <c r="D324" s="37"/>
      <c r="E324" s="37"/>
      <c r="F324" s="37"/>
      <c r="G324" s="37"/>
      <c r="H324" s="37"/>
      <c r="I324" s="37"/>
      <c r="J324" s="37"/>
      <c r="K324" s="37"/>
      <c r="L324" s="37"/>
      <c r="M324" s="37"/>
      <c r="N324" s="37"/>
      <c r="O324" s="37"/>
      <c r="P324" s="37"/>
      <c r="Q324" s="37"/>
      <c r="R324" s="37"/>
      <c r="S324" s="37"/>
      <c r="T324" s="37"/>
      <c r="U324" s="37"/>
      <c r="V324" s="37"/>
      <c r="W324" s="37"/>
      <c r="X324" s="37"/>
      <c r="Y324" s="37"/>
      <c r="Z324" s="37"/>
      <c r="AA324" s="37"/>
      <c r="AB324" s="37"/>
      <c r="AC324" s="37"/>
      <c r="AD324" s="37"/>
      <c r="AE324" s="37"/>
    </row>
    <row r="325" spans="1:31" x14ac:dyDescent="0.25">
      <c r="A325" s="37"/>
      <c r="B325" s="37"/>
      <c r="C325" s="37"/>
      <c r="D325" s="37"/>
      <c r="E325" s="37"/>
      <c r="F325" s="37"/>
      <c r="G325" s="37"/>
      <c r="H325" s="37"/>
      <c r="I325" s="37"/>
      <c r="J325" s="37"/>
      <c r="K325" s="37"/>
      <c r="L325" s="37"/>
      <c r="M325" s="37"/>
      <c r="N325" s="37"/>
      <c r="O325" s="37"/>
      <c r="P325" s="37"/>
      <c r="Q325" s="37"/>
      <c r="R325" s="37"/>
      <c r="S325" s="37"/>
      <c r="T325" s="37"/>
      <c r="U325" s="37"/>
      <c r="V325" s="37"/>
      <c r="W325" s="37"/>
      <c r="X325" s="37"/>
      <c r="Y325" s="37"/>
      <c r="Z325" s="37"/>
      <c r="AA325" s="37"/>
      <c r="AB325" s="37"/>
      <c r="AC325" s="37"/>
      <c r="AD325" s="37"/>
      <c r="AE325" s="37"/>
    </row>
    <row r="326" spans="1:31" x14ac:dyDescent="0.25">
      <c r="A326" s="37"/>
      <c r="B326" s="37"/>
      <c r="C326" s="37"/>
      <c r="D326" s="37"/>
      <c r="E326" s="37"/>
      <c r="F326" s="37"/>
      <c r="G326" s="37"/>
      <c r="H326" s="37"/>
      <c r="I326" s="37"/>
      <c r="J326" s="37"/>
      <c r="K326" s="37"/>
      <c r="L326" s="37"/>
      <c r="M326" s="37"/>
      <c r="N326" s="37"/>
      <c r="O326" s="37"/>
      <c r="P326" s="37"/>
      <c r="Q326" s="37"/>
      <c r="R326" s="37"/>
      <c r="S326" s="37"/>
      <c r="T326" s="37"/>
      <c r="U326" s="37"/>
      <c r="V326" s="37"/>
      <c r="W326" s="37"/>
      <c r="X326" s="37"/>
      <c r="Y326" s="37"/>
      <c r="Z326" s="37"/>
      <c r="AA326" s="37"/>
      <c r="AB326" s="37"/>
      <c r="AC326" s="37"/>
      <c r="AD326" s="37"/>
      <c r="AE326" s="37"/>
    </row>
    <row r="327" spans="1:31" x14ac:dyDescent="0.25">
      <c r="A327" s="37"/>
      <c r="B327" s="37"/>
      <c r="C327" s="37"/>
      <c r="D327" s="37"/>
      <c r="E327" s="37"/>
      <c r="F327" s="37"/>
      <c r="G327" s="37"/>
      <c r="H327" s="37"/>
      <c r="I327" s="37"/>
      <c r="J327" s="37"/>
      <c r="K327" s="37"/>
      <c r="L327" s="37"/>
      <c r="M327" s="37"/>
      <c r="N327" s="37"/>
      <c r="O327" s="37"/>
      <c r="P327" s="37"/>
      <c r="Q327" s="37"/>
      <c r="R327" s="37"/>
      <c r="S327" s="37"/>
      <c r="T327" s="37"/>
      <c r="U327" s="37"/>
      <c r="V327" s="37"/>
      <c r="W327" s="37"/>
      <c r="X327" s="37"/>
      <c r="Y327" s="37"/>
      <c r="Z327" s="37"/>
      <c r="AA327" s="37"/>
      <c r="AB327" s="37"/>
      <c r="AC327" s="37"/>
      <c r="AD327" s="37"/>
      <c r="AE327" s="37"/>
    </row>
    <row r="328" spans="1:31" x14ac:dyDescent="0.25">
      <c r="A328" s="37"/>
      <c r="B328" s="37"/>
      <c r="C328" s="37"/>
      <c r="D328" s="37"/>
      <c r="E328" s="37"/>
      <c r="F328" s="37"/>
      <c r="G328" s="37"/>
      <c r="H328" s="37"/>
      <c r="I328" s="37"/>
      <c r="J328" s="37"/>
      <c r="K328" s="37"/>
      <c r="L328" s="37"/>
      <c r="M328" s="37"/>
      <c r="N328" s="37"/>
      <c r="O328" s="37"/>
      <c r="P328" s="37"/>
      <c r="Q328" s="37"/>
      <c r="R328" s="37"/>
      <c r="S328" s="37"/>
      <c r="T328" s="37"/>
      <c r="U328" s="37"/>
      <c r="V328" s="37"/>
      <c r="W328" s="37"/>
      <c r="X328" s="37"/>
      <c r="Y328" s="37"/>
      <c r="Z328" s="37"/>
      <c r="AA328" s="37"/>
      <c r="AB328" s="37"/>
      <c r="AC328" s="37"/>
      <c r="AD328" s="37"/>
      <c r="AE328" s="37"/>
    </row>
    <row r="329" spans="1:31" x14ac:dyDescent="0.25">
      <c r="A329" s="37"/>
      <c r="B329" s="37"/>
      <c r="C329" s="37"/>
      <c r="D329" s="37"/>
      <c r="E329" s="37"/>
      <c r="F329" s="37"/>
      <c r="G329" s="37"/>
      <c r="H329" s="37"/>
      <c r="I329" s="37"/>
      <c r="J329" s="37"/>
      <c r="K329" s="37"/>
      <c r="L329" s="37"/>
      <c r="M329" s="37"/>
      <c r="N329" s="37"/>
      <c r="O329" s="37"/>
      <c r="P329" s="37"/>
      <c r="Q329" s="37"/>
      <c r="R329" s="37"/>
      <c r="S329" s="37"/>
      <c r="T329" s="37"/>
      <c r="U329" s="37"/>
      <c r="V329" s="37"/>
      <c r="W329" s="37"/>
      <c r="X329" s="37"/>
      <c r="Y329" s="37"/>
      <c r="Z329" s="37"/>
      <c r="AA329" s="37"/>
      <c r="AB329" s="37"/>
      <c r="AC329" s="37"/>
      <c r="AD329" s="37"/>
      <c r="AE329" s="37"/>
    </row>
    <row r="330" spans="1:31" x14ac:dyDescent="0.25">
      <c r="A330" s="37"/>
      <c r="B330" s="37"/>
      <c r="C330" s="37"/>
      <c r="D330" s="37"/>
      <c r="E330" s="37"/>
      <c r="F330" s="37"/>
      <c r="G330" s="37"/>
      <c r="H330" s="37"/>
      <c r="I330" s="37"/>
      <c r="J330" s="37"/>
      <c r="K330" s="37"/>
      <c r="L330" s="37"/>
      <c r="M330" s="37"/>
      <c r="N330" s="37"/>
      <c r="O330" s="37"/>
      <c r="P330" s="37"/>
      <c r="Q330" s="37"/>
      <c r="R330" s="37"/>
      <c r="S330" s="37"/>
      <c r="T330" s="37"/>
      <c r="U330" s="37"/>
      <c r="V330" s="37"/>
      <c r="W330" s="37"/>
      <c r="X330" s="37"/>
      <c r="Y330" s="37"/>
      <c r="Z330" s="37"/>
      <c r="AA330" s="37"/>
      <c r="AB330" s="37"/>
      <c r="AC330" s="37"/>
      <c r="AD330" s="37"/>
      <c r="AE330" s="37"/>
    </row>
    <row r="331" spans="1:31" x14ac:dyDescent="0.25">
      <c r="A331" s="37"/>
      <c r="B331" s="37"/>
      <c r="C331" s="37"/>
      <c r="D331" s="37"/>
      <c r="E331" s="37"/>
      <c r="F331" s="37"/>
      <c r="G331" s="37"/>
      <c r="H331" s="37"/>
      <c r="I331" s="37"/>
      <c r="J331" s="37"/>
      <c r="K331" s="37"/>
      <c r="L331" s="37"/>
      <c r="M331" s="37"/>
      <c r="N331" s="37"/>
      <c r="O331" s="37"/>
      <c r="P331" s="37"/>
      <c r="Q331" s="37"/>
      <c r="R331" s="37"/>
      <c r="S331" s="37"/>
      <c r="T331" s="37"/>
      <c r="U331" s="37"/>
      <c r="V331" s="37"/>
      <c r="W331" s="37"/>
      <c r="X331" s="37"/>
      <c r="Y331" s="37"/>
      <c r="Z331" s="37"/>
      <c r="AA331" s="37"/>
      <c r="AB331" s="37"/>
      <c r="AC331" s="37"/>
      <c r="AD331" s="37"/>
      <c r="AE331" s="37"/>
    </row>
    <row r="332" spans="1:31" x14ac:dyDescent="0.25">
      <c r="A332" s="37"/>
      <c r="B332" s="37"/>
      <c r="C332" s="37"/>
      <c r="D332" s="37"/>
      <c r="E332" s="37"/>
      <c r="F332" s="37"/>
      <c r="G332" s="37"/>
      <c r="H332" s="37"/>
      <c r="I332" s="37"/>
      <c r="J332" s="37"/>
      <c r="K332" s="37"/>
      <c r="L332" s="37"/>
      <c r="M332" s="37"/>
      <c r="N332" s="37"/>
      <c r="O332" s="37"/>
      <c r="P332" s="37"/>
      <c r="Q332" s="37"/>
      <c r="R332" s="37"/>
      <c r="S332" s="37"/>
      <c r="T332" s="37"/>
      <c r="U332" s="37"/>
      <c r="V332" s="37"/>
      <c r="W332" s="37"/>
      <c r="X332" s="37"/>
      <c r="Y332" s="37"/>
      <c r="Z332" s="37"/>
      <c r="AA332" s="37"/>
      <c r="AB332" s="37"/>
      <c r="AC332" s="37"/>
      <c r="AD332" s="37"/>
      <c r="AE332" s="37"/>
    </row>
    <row r="333" spans="1:31" x14ac:dyDescent="0.25">
      <c r="A333" s="37"/>
      <c r="B333" s="37"/>
      <c r="C333" s="37"/>
      <c r="D333" s="37"/>
      <c r="E333" s="37"/>
      <c r="F333" s="37"/>
      <c r="G333" s="37"/>
      <c r="H333" s="37"/>
      <c r="I333" s="37"/>
      <c r="J333" s="37"/>
      <c r="K333" s="37"/>
      <c r="L333" s="37"/>
      <c r="M333" s="37"/>
      <c r="N333" s="37"/>
      <c r="O333" s="37"/>
      <c r="P333" s="37"/>
      <c r="Q333" s="37"/>
      <c r="R333" s="37"/>
      <c r="S333" s="37"/>
      <c r="T333" s="37"/>
      <c r="U333" s="37"/>
      <c r="V333" s="37"/>
      <c r="W333" s="37"/>
      <c r="X333" s="37"/>
      <c r="Y333" s="37"/>
      <c r="Z333" s="37"/>
      <c r="AA333" s="37"/>
      <c r="AB333" s="37"/>
      <c r="AC333" s="37"/>
      <c r="AD333" s="37"/>
      <c r="AE333" s="37"/>
    </row>
    <row r="334" spans="1:31" x14ac:dyDescent="0.25">
      <c r="A334" s="37"/>
      <c r="B334" s="37"/>
      <c r="C334" s="37"/>
      <c r="D334" s="37"/>
      <c r="E334" s="37"/>
      <c r="F334" s="37"/>
      <c r="G334" s="37"/>
      <c r="H334" s="37"/>
      <c r="I334" s="37"/>
      <c r="J334" s="37"/>
      <c r="K334" s="37"/>
      <c r="L334" s="37"/>
      <c r="M334" s="37"/>
      <c r="N334" s="37"/>
      <c r="O334" s="37"/>
      <c r="P334" s="37"/>
      <c r="Q334" s="37"/>
      <c r="R334" s="37"/>
      <c r="S334" s="37"/>
      <c r="T334" s="37"/>
      <c r="U334" s="37"/>
      <c r="V334" s="37"/>
      <c r="W334" s="37"/>
      <c r="X334" s="37"/>
      <c r="Y334" s="37"/>
      <c r="Z334" s="37"/>
      <c r="AA334" s="37"/>
      <c r="AB334" s="37"/>
      <c r="AC334" s="37"/>
      <c r="AD334" s="37"/>
      <c r="AE334" s="37"/>
    </row>
    <row r="335" spans="1:31" x14ac:dyDescent="0.25">
      <c r="A335" s="37"/>
      <c r="B335" s="37"/>
      <c r="C335" s="37"/>
      <c r="D335" s="37"/>
      <c r="E335" s="37"/>
      <c r="F335" s="37"/>
      <c r="G335" s="37"/>
      <c r="H335" s="37"/>
      <c r="I335" s="37"/>
      <c r="J335" s="37"/>
      <c r="K335" s="37"/>
      <c r="L335" s="37"/>
      <c r="M335" s="37"/>
      <c r="N335" s="37"/>
      <c r="O335" s="37"/>
      <c r="P335" s="37"/>
      <c r="Q335" s="37"/>
      <c r="R335" s="37"/>
      <c r="S335" s="37"/>
      <c r="T335" s="37"/>
      <c r="U335" s="37"/>
      <c r="V335" s="37"/>
      <c r="W335" s="37"/>
      <c r="X335" s="37"/>
      <c r="Y335" s="37"/>
      <c r="Z335" s="37"/>
      <c r="AA335" s="37"/>
      <c r="AB335" s="37"/>
      <c r="AC335" s="37"/>
      <c r="AD335" s="37"/>
      <c r="AE335" s="37"/>
    </row>
    <row r="336" spans="1:31" x14ac:dyDescent="0.25">
      <c r="A336" s="37"/>
      <c r="B336" s="37"/>
      <c r="C336" s="37"/>
      <c r="D336" s="37"/>
      <c r="E336" s="37"/>
      <c r="F336" s="37"/>
      <c r="G336" s="37"/>
      <c r="H336" s="37"/>
      <c r="I336" s="37"/>
      <c r="J336" s="37"/>
      <c r="K336" s="37"/>
      <c r="L336" s="37"/>
      <c r="M336" s="37"/>
      <c r="N336" s="37"/>
      <c r="O336" s="37"/>
      <c r="P336" s="37"/>
      <c r="Q336" s="37"/>
      <c r="R336" s="37"/>
      <c r="S336" s="37"/>
      <c r="T336" s="37"/>
      <c r="U336" s="37"/>
      <c r="V336" s="37"/>
      <c r="W336" s="37"/>
      <c r="X336" s="37"/>
      <c r="Y336" s="37"/>
      <c r="Z336" s="37"/>
      <c r="AA336" s="37"/>
      <c r="AB336" s="37"/>
      <c r="AC336" s="37"/>
      <c r="AD336" s="37"/>
      <c r="AE336" s="37"/>
    </row>
    <row r="337" spans="1:31" x14ac:dyDescent="0.25">
      <c r="A337" s="37"/>
      <c r="B337" s="37"/>
      <c r="C337" s="37"/>
      <c r="D337" s="37"/>
      <c r="E337" s="37"/>
      <c r="F337" s="37"/>
      <c r="G337" s="37"/>
      <c r="H337" s="37"/>
      <c r="I337" s="37"/>
      <c r="J337" s="37"/>
      <c r="K337" s="37"/>
      <c r="L337" s="37"/>
      <c r="M337" s="37"/>
      <c r="N337" s="37"/>
      <c r="O337" s="37"/>
      <c r="P337" s="37"/>
      <c r="Q337" s="37"/>
      <c r="R337" s="37"/>
      <c r="S337" s="37"/>
      <c r="T337" s="37"/>
      <c r="U337" s="37"/>
      <c r="V337" s="37"/>
      <c r="W337" s="37"/>
      <c r="X337" s="37"/>
      <c r="Y337" s="37"/>
      <c r="Z337" s="37"/>
      <c r="AA337" s="37"/>
      <c r="AB337" s="37"/>
      <c r="AC337" s="37"/>
      <c r="AD337" s="37"/>
      <c r="AE337" s="37"/>
    </row>
    <row r="338" spans="1:31" x14ac:dyDescent="0.25">
      <c r="A338" s="37"/>
      <c r="B338" s="37"/>
      <c r="C338" s="37"/>
      <c r="D338" s="37"/>
      <c r="E338" s="37"/>
      <c r="F338" s="37"/>
      <c r="G338" s="37"/>
      <c r="H338" s="37"/>
      <c r="I338" s="37"/>
      <c r="J338" s="37"/>
      <c r="K338" s="37"/>
      <c r="L338" s="37"/>
      <c r="M338" s="37"/>
      <c r="N338" s="37"/>
      <c r="O338" s="37"/>
      <c r="P338" s="37"/>
      <c r="Q338" s="37"/>
      <c r="R338" s="37"/>
      <c r="S338" s="37"/>
      <c r="T338" s="37"/>
      <c r="U338" s="37"/>
      <c r="V338" s="37"/>
      <c r="W338" s="37"/>
      <c r="X338" s="37"/>
      <c r="Y338" s="37"/>
      <c r="Z338" s="37"/>
      <c r="AA338" s="37"/>
      <c r="AB338" s="37"/>
      <c r="AC338" s="37"/>
      <c r="AD338" s="37"/>
      <c r="AE338" s="37"/>
    </row>
    <row r="339" spans="1:31" x14ac:dyDescent="0.25">
      <c r="A339" s="37"/>
      <c r="B339" s="37"/>
      <c r="C339" s="37"/>
      <c r="D339" s="37"/>
      <c r="E339" s="37"/>
      <c r="F339" s="37"/>
      <c r="G339" s="37"/>
      <c r="H339" s="37"/>
      <c r="I339" s="37"/>
      <c r="J339" s="37"/>
      <c r="K339" s="37"/>
      <c r="L339" s="37"/>
      <c r="M339" s="37"/>
      <c r="N339" s="37"/>
      <c r="O339" s="37"/>
      <c r="P339" s="37"/>
      <c r="Q339" s="37"/>
      <c r="R339" s="37"/>
      <c r="S339" s="37"/>
      <c r="T339" s="37"/>
      <c r="U339" s="37"/>
      <c r="V339" s="37"/>
      <c r="W339" s="37"/>
      <c r="X339" s="37"/>
      <c r="Y339" s="37"/>
      <c r="Z339" s="37"/>
      <c r="AA339" s="37"/>
      <c r="AB339" s="37"/>
      <c r="AC339" s="37"/>
      <c r="AD339" s="37"/>
      <c r="AE339" s="37"/>
    </row>
    <row r="340" spans="1:31" x14ac:dyDescent="0.25">
      <c r="A340" s="37"/>
      <c r="B340" s="37"/>
      <c r="C340" s="37"/>
      <c r="D340" s="37"/>
      <c r="E340" s="37"/>
      <c r="F340" s="37"/>
      <c r="G340" s="37"/>
      <c r="H340" s="37"/>
      <c r="I340" s="37"/>
      <c r="J340" s="37"/>
      <c r="K340" s="37"/>
      <c r="L340" s="37"/>
      <c r="M340" s="37"/>
      <c r="N340" s="37"/>
      <c r="O340" s="37"/>
      <c r="P340" s="37"/>
      <c r="Q340" s="37"/>
      <c r="R340" s="37"/>
      <c r="S340" s="37"/>
      <c r="T340" s="37"/>
      <c r="U340" s="37"/>
      <c r="V340" s="37"/>
      <c r="W340" s="37"/>
      <c r="X340" s="37"/>
      <c r="Y340" s="37"/>
      <c r="Z340" s="37"/>
      <c r="AA340" s="37"/>
      <c r="AB340" s="37"/>
      <c r="AC340" s="37"/>
      <c r="AD340" s="37"/>
      <c r="AE340" s="37"/>
    </row>
    <row r="341" spans="1:31" x14ac:dyDescent="0.25">
      <c r="A341" s="37"/>
      <c r="B341" s="37"/>
      <c r="C341" s="37"/>
      <c r="D341" s="37"/>
      <c r="E341" s="37"/>
      <c r="F341" s="37"/>
      <c r="G341" s="37"/>
      <c r="H341" s="37"/>
      <c r="I341" s="37"/>
      <c r="J341" s="37"/>
      <c r="K341" s="37"/>
      <c r="L341" s="37"/>
      <c r="M341" s="37"/>
      <c r="N341" s="37"/>
      <c r="O341" s="37"/>
      <c r="P341" s="37"/>
      <c r="Q341" s="37"/>
      <c r="R341" s="37"/>
      <c r="S341" s="37"/>
      <c r="T341" s="37"/>
      <c r="U341" s="37"/>
      <c r="V341" s="37"/>
      <c r="W341" s="37"/>
      <c r="X341" s="37"/>
      <c r="Y341" s="37"/>
      <c r="Z341" s="37"/>
      <c r="AA341" s="37"/>
      <c r="AB341" s="37"/>
      <c r="AC341" s="37"/>
      <c r="AD341" s="37"/>
      <c r="AE341" s="37"/>
    </row>
    <row r="342" spans="1:31" x14ac:dyDescent="0.25">
      <c r="A342" s="37"/>
      <c r="B342" s="37"/>
      <c r="C342" s="37"/>
      <c r="D342" s="37"/>
      <c r="E342" s="37"/>
      <c r="F342" s="37"/>
      <c r="G342" s="37"/>
      <c r="H342" s="37"/>
      <c r="I342" s="37"/>
      <c r="J342" s="37"/>
      <c r="K342" s="37"/>
      <c r="L342" s="37"/>
      <c r="M342" s="37"/>
      <c r="N342" s="37"/>
      <c r="O342" s="37"/>
      <c r="P342" s="37"/>
      <c r="Q342" s="37"/>
      <c r="R342" s="37"/>
      <c r="S342" s="37"/>
      <c r="T342" s="37"/>
      <c r="U342" s="37"/>
      <c r="V342" s="37"/>
      <c r="W342" s="37"/>
      <c r="X342" s="37"/>
      <c r="Y342" s="37"/>
      <c r="Z342" s="37"/>
      <c r="AA342" s="37"/>
      <c r="AB342" s="37"/>
      <c r="AC342" s="37"/>
      <c r="AD342" s="37"/>
      <c r="AE342" s="37"/>
    </row>
    <row r="343" spans="1:31" x14ac:dyDescent="0.25">
      <c r="A343" s="37"/>
      <c r="B343" s="37"/>
      <c r="C343" s="37"/>
      <c r="D343" s="37"/>
      <c r="E343" s="37"/>
      <c r="F343" s="37"/>
      <c r="G343" s="37"/>
      <c r="H343" s="37"/>
      <c r="I343" s="37"/>
      <c r="J343" s="37"/>
      <c r="K343" s="37"/>
      <c r="L343" s="37"/>
      <c r="M343" s="37"/>
      <c r="N343" s="37"/>
      <c r="O343" s="37"/>
      <c r="P343" s="37"/>
      <c r="Q343" s="37"/>
      <c r="R343" s="37"/>
      <c r="S343" s="37"/>
      <c r="T343" s="37"/>
      <c r="U343" s="37"/>
      <c r="V343" s="37"/>
      <c r="W343" s="37"/>
      <c r="X343" s="37"/>
      <c r="Y343" s="37"/>
      <c r="Z343" s="37"/>
      <c r="AA343" s="37"/>
      <c r="AB343" s="37"/>
      <c r="AC343" s="37"/>
      <c r="AD343" s="37"/>
      <c r="AE343" s="37"/>
    </row>
    <row r="344" spans="1:31" x14ac:dyDescent="0.25">
      <c r="A344" s="37"/>
      <c r="B344" s="37"/>
      <c r="C344" s="37"/>
      <c r="D344" s="37"/>
      <c r="E344" s="37"/>
      <c r="F344" s="37"/>
      <c r="G344" s="37"/>
      <c r="H344" s="37"/>
      <c r="I344" s="37"/>
      <c r="J344" s="37"/>
      <c r="K344" s="37"/>
      <c r="L344" s="37"/>
      <c r="M344" s="37"/>
      <c r="N344" s="37"/>
      <c r="O344" s="37"/>
      <c r="P344" s="37"/>
      <c r="Q344" s="37"/>
      <c r="R344" s="37"/>
      <c r="S344" s="37"/>
      <c r="T344" s="37"/>
      <c r="U344" s="37"/>
      <c r="V344" s="37"/>
      <c r="W344" s="37"/>
      <c r="X344" s="37"/>
      <c r="Y344" s="37"/>
      <c r="Z344" s="37"/>
      <c r="AA344" s="37"/>
      <c r="AB344" s="37"/>
      <c r="AC344" s="37"/>
      <c r="AD344" s="37"/>
      <c r="AE344" s="37"/>
    </row>
    <row r="345" spans="1:31" x14ac:dyDescent="0.25">
      <c r="A345" s="37"/>
      <c r="B345" s="37"/>
      <c r="C345" s="37"/>
      <c r="D345" s="37"/>
      <c r="E345" s="37"/>
      <c r="F345" s="37"/>
      <c r="G345" s="37"/>
      <c r="H345" s="37"/>
      <c r="I345" s="37"/>
      <c r="J345" s="37"/>
      <c r="K345" s="37"/>
      <c r="L345" s="37"/>
      <c r="M345" s="37"/>
      <c r="N345" s="37"/>
      <c r="O345" s="37"/>
      <c r="P345" s="37"/>
      <c r="Q345" s="37"/>
      <c r="R345" s="37"/>
      <c r="S345" s="37"/>
      <c r="T345" s="37"/>
      <c r="U345" s="37"/>
      <c r="V345" s="37"/>
      <c r="W345" s="37"/>
      <c r="X345" s="37"/>
      <c r="Y345" s="37"/>
      <c r="Z345" s="37"/>
      <c r="AA345" s="37"/>
      <c r="AB345" s="37"/>
      <c r="AC345" s="37"/>
      <c r="AD345" s="37"/>
      <c r="AE345" s="37"/>
    </row>
    <row r="346" spans="1:31" x14ac:dyDescent="0.25">
      <c r="A346" s="37"/>
      <c r="B346" s="37"/>
      <c r="C346" s="37"/>
      <c r="D346" s="37"/>
      <c r="E346" s="37"/>
      <c r="F346" s="37"/>
      <c r="G346" s="37"/>
      <c r="H346" s="37"/>
      <c r="I346" s="37"/>
      <c r="J346" s="37"/>
      <c r="K346" s="37"/>
      <c r="L346" s="37"/>
      <c r="M346" s="37"/>
      <c r="N346" s="37"/>
      <c r="O346" s="37"/>
      <c r="P346" s="37"/>
      <c r="Q346" s="37"/>
      <c r="R346" s="37"/>
      <c r="S346" s="37"/>
      <c r="T346" s="37"/>
      <c r="U346" s="37"/>
      <c r="V346" s="37"/>
      <c r="W346" s="37"/>
      <c r="X346" s="37"/>
      <c r="Y346" s="37"/>
      <c r="Z346" s="37"/>
      <c r="AA346" s="37"/>
      <c r="AB346" s="37"/>
      <c r="AC346" s="37"/>
      <c r="AD346" s="37"/>
      <c r="AE346" s="37"/>
    </row>
    <row r="347" spans="1:31" x14ac:dyDescent="0.25">
      <c r="A347" s="37"/>
      <c r="B347" s="37"/>
      <c r="C347" s="37"/>
      <c r="D347" s="37"/>
      <c r="E347" s="37"/>
      <c r="F347" s="37"/>
      <c r="G347" s="37"/>
      <c r="H347" s="37"/>
      <c r="I347" s="37"/>
      <c r="J347" s="37"/>
      <c r="K347" s="37"/>
      <c r="L347" s="37"/>
      <c r="M347" s="37"/>
      <c r="N347" s="37"/>
      <c r="O347" s="37"/>
      <c r="P347" s="37"/>
      <c r="Q347" s="37"/>
      <c r="R347" s="37"/>
      <c r="S347" s="37"/>
      <c r="T347" s="37"/>
      <c r="U347" s="37"/>
      <c r="V347" s="37"/>
      <c r="W347" s="37"/>
      <c r="X347" s="37"/>
      <c r="Y347" s="37"/>
      <c r="Z347" s="37"/>
      <c r="AA347" s="37"/>
      <c r="AB347" s="37"/>
      <c r="AC347" s="37"/>
      <c r="AD347" s="37"/>
      <c r="AE347" s="37"/>
    </row>
    <row r="348" spans="1:31" x14ac:dyDescent="0.25">
      <c r="A348" s="37"/>
      <c r="B348" s="37"/>
      <c r="C348" s="37"/>
      <c r="D348" s="37"/>
      <c r="E348" s="37"/>
      <c r="F348" s="37"/>
      <c r="G348" s="37"/>
      <c r="H348" s="37"/>
      <c r="I348" s="37"/>
      <c r="J348" s="37"/>
      <c r="K348" s="37"/>
      <c r="L348" s="37"/>
      <c r="M348" s="37"/>
      <c r="N348" s="37"/>
      <c r="O348" s="37"/>
      <c r="P348" s="37"/>
      <c r="Q348" s="37"/>
      <c r="R348" s="37"/>
      <c r="S348" s="37"/>
      <c r="T348" s="37"/>
      <c r="U348" s="37"/>
      <c r="V348" s="37"/>
      <c r="W348" s="37"/>
      <c r="X348" s="37"/>
      <c r="Y348" s="37"/>
      <c r="Z348" s="37"/>
      <c r="AA348" s="37"/>
      <c r="AB348" s="37"/>
      <c r="AC348" s="37"/>
      <c r="AD348" s="37"/>
      <c r="AE348" s="37"/>
    </row>
    <row r="349" spans="1:31" x14ac:dyDescent="0.25">
      <c r="A349" s="37"/>
      <c r="B349" s="37"/>
      <c r="C349" s="37"/>
      <c r="D349" s="37"/>
      <c r="E349" s="37"/>
      <c r="F349" s="37"/>
      <c r="G349" s="37"/>
      <c r="H349" s="37"/>
      <c r="I349" s="37"/>
      <c r="J349" s="37"/>
      <c r="K349" s="37"/>
      <c r="L349" s="37"/>
      <c r="M349" s="37"/>
      <c r="N349" s="37"/>
      <c r="O349" s="37"/>
      <c r="P349" s="37"/>
      <c r="Q349" s="37"/>
      <c r="R349" s="37"/>
      <c r="S349" s="37"/>
      <c r="T349" s="37"/>
      <c r="U349" s="37"/>
      <c r="V349" s="37"/>
      <c r="W349" s="37"/>
      <c r="X349" s="37"/>
      <c r="Y349" s="37"/>
      <c r="Z349" s="37"/>
      <c r="AA349" s="37"/>
      <c r="AB349" s="37"/>
      <c r="AC349" s="37"/>
      <c r="AD349" s="37"/>
      <c r="AE349" s="37"/>
    </row>
    <row r="350" spans="1:31" x14ac:dyDescent="0.25">
      <c r="A350" s="37"/>
      <c r="B350" s="37"/>
      <c r="C350" s="37"/>
      <c r="D350" s="37"/>
      <c r="E350" s="37"/>
      <c r="F350" s="37"/>
      <c r="G350" s="37"/>
      <c r="H350" s="37"/>
      <c r="I350" s="37"/>
      <c r="J350" s="37"/>
      <c r="K350" s="37"/>
      <c r="L350" s="37"/>
      <c r="M350" s="37"/>
      <c r="N350" s="37"/>
      <c r="O350" s="37"/>
      <c r="P350" s="37"/>
      <c r="Q350" s="37"/>
      <c r="R350" s="37"/>
      <c r="S350" s="37"/>
      <c r="T350" s="37"/>
      <c r="U350" s="37"/>
      <c r="V350" s="37"/>
      <c r="W350" s="37"/>
      <c r="X350" s="37"/>
      <c r="Y350" s="37"/>
      <c r="Z350" s="37"/>
      <c r="AA350" s="37"/>
      <c r="AB350" s="37"/>
      <c r="AC350" s="37"/>
      <c r="AD350" s="37"/>
      <c r="AE350" s="37"/>
    </row>
    <row r="351" spans="1:31" x14ac:dyDescent="0.25">
      <c r="A351" s="37"/>
      <c r="B351" s="37"/>
      <c r="C351" s="37"/>
      <c r="D351" s="37"/>
      <c r="E351" s="37"/>
      <c r="F351" s="37"/>
      <c r="G351" s="37"/>
      <c r="H351" s="37"/>
      <c r="I351" s="37"/>
      <c r="J351" s="37"/>
      <c r="K351" s="37"/>
      <c r="L351" s="37"/>
      <c r="M351" s="37"/>
      <c r="N351" s="37"/>
      <c r="O351" s="37"/>
      <c r="P351" s="37"/>
      <c r="Q351" s="37"/>
      <c r="R351" s="37"/>
      <c r="S351" s="37"/>
      <c r="T351" s="37"/>
      <c r="U351" s="37"/>
      <c r="V351" s="37"/>
      <c r="W351" s="37"/>
      <c r="X351" s="37"/>
      <c r="Y351" s="37"/>
      <c r="Z351" s="37"/>
      <c r="AA351" s="37"/>
      <c r="AB351" s="37"/>
      <c r="AC351" s="37"/>
      <c r="AD351" s="37"/>
      <c r="AE351" s="37"/>
    </row>
    <row r="352" spans="1:31" x14ac:dyDescent="0.25">
      <c r="A352" s="37"/>
      <c r="B352" s="37"/>
      <c r="C352" s="37"/>
      <c r="D352" s="37"/>
      <c r="E352" s="37"/>
      <c r="F352" s="37"/>
      <c r="G352" s="37"/>
      <c r="H352" s="37"/>
      <c r="I352" s="37"/>
      <c r="J352" s="37"/>
      <c r="K352" s="37"/>
      <c r="L352" s="37"/>
      <c r="M352" s="37"/>
      <c r="N352" s="37"/>
      <c r="O352" s="37"/>
      <c r="P352" s="37"/>
      <c r="Q352" s="37"/>
      <c r="R352" s="37"/>
      <c r="S352" s="37"/>
      <c r="T352" s="37"/>
      <c r="U352" s="37"/>
      <c r="V352" s="37"/>
      <c r="W352" s="37"/>
      <c r="X352" s="37"/>
      <c r="Y352" s="37"/>
      <c r="Z352" s="37"/>
      <c r="AA352" s="37"/>
      <c r="AB352" s="37"/>
      <c r="AC352" s="37"/>
      <c r="AD352" s="37"/>
      <c r="AE352" s="37"/>
    </row>
    <row r="353" spans="1:31" x14ac:dyDescent="0.25">
      <c r="A353" s="37"/>
      <c r="B353" s="37"/>
      <c r="C353" s="37"/>
      <c r="D353" s="37"/>
      <c r="E353" s="37"/>
      <c r="F353" s="37"/>
      <c r="G353" s="37"/>
      <c r="H353" s="37"/>
      <c r="I353" s="37"/>
      <c r="J353" s="37"/>
      <c r="K353" s="37"/>
      <c r="L353" s="37"/>
      <c r="M353" s="37"/>
      <c r="N353" s="37"/>
      <c r="O353" s="37"/>
      <c r="P353" s="37"/>
      <c r="Q353" s="37"/>
      <c r="R353" s="37"/>
      <c r="S353" s="37"/>
      <c r="T353" s="37"/>
      <c r="U353" s="37"/>
      <c r="V353" s="37"/>
      <c r="W353" s="37"/>
      <c r="X353" s="37"/>
      <c r="Y353" s="37"/>
      <c r="Z353" s="37"/>
      <c r="AA353" s="37"/>
      <c r="AB353" s="37"/>
      <c r="AC353" s="37"/>
      <c r="AD353" s="37"/>
      <c r="AE353" s="37"/>
    </row>
    <row r="354" spans="1:31" x14ac:dyDescent="0.25">
      <c r="A354" s="37"/>
      <c r="B354" s="37"/>
      <c r="C354" s="37"/>
      <c r="D354" s="37"/>
      <c r="E354" s="37"/>
      <c r="F354" s="37"/>
      <c r="G354" s="37"/>
      <c r="H354" s="37"/>
      <c r="I354" s="37"/>
      <c r="J354" s="37"/>
      <c r="K354" s="37"/>
      <c r="L354" s="37"/>
      <c r="M354" s="37"/>
      <c r="N354" s="37"/>
      <c r="O354" s="37"/>
      <c r="P354" s="37"/>
      <c r="Q354" s="37"/>
      <c r="R354" s="37"/>
      <c r="S354" s="37"/>
      <c r="T354" s="37"/>
      <c r="U354" s="37"/>
      <c r="V354" s="37"/>
      <c r="W354" s="37"/>
      <c r="X354" s="37"/>
      <c r="Y354" s="37"/>
      <c r="Z354" s="37"/>
      <c r="AA354" s="37"/>
      <c r="AB354" s="37"/>
      <c r="AC354" s="37"/>
      <c r="AD354" s="37"/>
      <c r="AE354" s="37"/>
    </row>
    <row r="355" spans="1:31" x14ac:dyDescent="0.25">
      <c r="A355" s="37"/>
      <c r="B355" s="37"/>
      <c r="C355" s="37"/>
      <c r="D355" s="37"/>
      <c r="E355" s="37"/>
      <c r="F355" s="37"/>
      <c r="G355" s="37"/>
      <c r="H355" s="37"/>
      <c r="I355" s="37"/>
      <c r="J355" s="37"/>
      <c r="K355" s="37"/>
      <c r="L355" s="37"/>
      <c r="M355" s="37"/>
      <c r="N355" s="37"/>
      <c r="O355" s="37"/>
      <c r="P355" s="37"/>
      <c r="Q355" s="37"/>
      <c r="R355" s="37"/>
      <c r="S355" s="37"/>
      <c r="T355" s="37"/>
      <c r="U355" s="37"/>
      <c r="V355" s="37"/>
      <c r="W355" s="37"/>
      <c r="X355" s="37"/>
      <c r="Y355" s="37"/>
      <c r="Z355" s="37"/>
      <c r="AA355" s="37"/>
      <c r="AB355" s="37"/>
      <c r="AC355" s="37"/>
      <c r="AD355" s="37"/>
      <c r="AE355" s="37"/>
    </row>
    <row r="356" spans="1:31" x14ac:dyDescent="0.25">
      <c r="A356" s="37"/>
      <c r="B356" s="37"/>
      <c r="C356" s="37"/>
      <c r="D356" s="37"/>
      <c r="E356" s="37"/>
      <c r="F356" s="37"/>
      <c r="G356" s="37"/>
      <c r="H356" s="37"/>
      <c r="I356" s="37"/>
      <c r="J356" s="37"/>
      <c r="K356" s="37"/>
      <c r="L356" s="37"/>
      <c r="M356" s="37"/>
      <c r="N356" s="37"/>
      <c r="O356" s="37"/>
      <c r="P356" s="37"/>
      <c r="Q356" s="37"/>
      <c r="R356" s="37"/>
      <c r="S356" s="37"/>
      <c r="T356" s="37"/>
      <c r="U356" s="37"/>
      <c r="V356" s="37"/>
      <c r="W356" s="37"/>
      <c r="X356" s="37"/>
      <c r="Y356" s="37"/>
      <c r="Z356" s="37"/>
      <c r="AA356" s="37"/>
      <c r="AB356" s="37"/>
      <c r="AC356" s="37"/>
      <c r="AD356" s="37"/>
      <c r="AE356" s="37"/>
    </row>
    <row r="357" spans="1:31" x14ac:dyDescent="0.25">
      <c r="A357" s="37"/>
      <c r="B357" s="37"/>
      <c r="C357" s="37"/>
      <c r="D357" s="37"/>
      <c r="E357" s="37"/>
      <c r="F357" s="37"/>
      <c r="G357" s="37"/>
      <c r="H357" s="37"/>
      <c r="I357" s="37"/>
      <c r="J357" s="37"/>
      <c r="K357" s="37"/>
      <c r="L357" s="37"/>
      <c r="M357" s="37"/>
      <c r="N357" s="37"/>
      <c r="O357" s="37"/>
      <c r="P357" s="37"/>
      <c r="Q357" s="37"/>
      <c r="R357" s="37"/>
      <c r="S357" s="37"/>
      <c r="T357" s="37"/>
      <c r="U357" s="37"/>
      <c r="V357" s="37"/>
      <c r="W357" s="37"/>
      <c r="X357" s="37"/>
      <c r="Y357" s="37"/>
      <c r="Z357" s="37"/>
      <c r="AA357" s="37"/>
      <c r="AB357" s="37"/>
      <c r="AC357" s="37"/>
      <c r="AD357" s="37"/>
      <c r="AE357" s="37"/>
    </row>
    <row r="358" spans="1:31" x14ac:dyDescent="0.25">
      <c r="A358" s="37"/>
      <c r="B358" s="37"/>
      <c r="C358" s="37"/>
      <c r="D358" s="37"/>
      <c r="E358" s="37"/>
      <c r="F358" s="37"/>
      <c r="G358" s="37"/>
      <c r="H358" s="37"/>
      <c r="I358" s="37"/>
      <c r="J358" s="37"/>
      <c r="K358" s="37"/>
      <c r="L358" s="37"/>
      <c r="M358" s="37"/>
      <c r="N358" s="37"/>
      <c r="O358" s="37"/>
      <c r="P358" s="37"/>
      <c r="Q358" s="37"/>
      <c r="R358" s="37"/>
      <c r="S358" s="37"/>
      <c r="T358" s="37"/>
      <c r="U358" s="37"/>
      <c r="V358" s="37"/>
      <c r="W358" s="37"/>
      <c r="X358" s="37"/>
      <c r="Y358" s="37"/>
      <c r="Z358" s="37"/>
      <c r="AA358" s="37"/>
      <c r="AB358" s="37"/>
      <c r="AC358" s="37"/>
      <c r="AD358" s="37"/>
      <c r="AE358" s="37"/>
    </row>
    <row r="359" spans="1:31" x14ac:dyDescent="0.25">
      <c r="A359" s="37"/>
      <c r="B359" s="37"/>
      <c r="C359" s="37"/>
      <c r="D359" s="37"/>
      <c r="E359" s="37"/>
      <c r="F359" s="37"/>
      <c r="G359" s="37"/>
      <c r="H359" s="37"/>
      <c r="I359" s="37"/>
      <c r="J359" s="37"/>
      <c r="K359" s="37"/>
      <c r="L359" s="37"/>
      <c r="M359" s="37"/>
      <c r="N359" s="37"/>
      <c r="O359" s="37"/>
      <c r="P359" s="37"/>
      <c r="Q359" s="37"/>
      <c r="R359" s="37"/>
      <c r="S359" s="37"/>
      <c r="T359" s="37"/>
      <c r="U359" s="37"/>
      <c r="V359" s="37"/>
      <c r="W359" s="37"/>
      <c r="X359" s="37"/>
      <c r="Y359" s="37"/>
      <c r="Z359" s="37"/>
      <c r="AA359" s="37"/>
      <c r="AB359" s="37"/>
      <c r="AC359" s="37"/>
      <c r="AD359" s="37"/>
      <c r="AE359" s="37"/>
    </row>
    <row r="360" spans="1:31" x14ac:dyDescent="0.25">
      <c r="A360" s="37"/>
      <c r="B360" s="37"/>
      <c r="C360" s="37"/>
      <c r="D360" s="37"/>
      <c r="E360" s="37"/>
      <c r="F360" s="37"/>
      <c r="G360" s="37"/>
      <c r="H360" s="37"/>
      <c r="I360" s="37"/>
      <c r="J360" s="37"/>
      <c r="K360" s="37"/>
      <c r="L360" s="37"/>
      <c r="M360" s="37"/>
      <c r="N360" s="37"/>
      <c r="O360" s="37"/>
      <c r="P360" s="37"/>
      <c r="Q360" s="37"/>
      <c r="R360" s="37"/>
      <c r="S360" s="37"/>
      <c r="T360" s="37"/>
      <c r="U360" s="37"/>
      <c r="V360" s="37"/>
      <c r="W360" s="37"/>
      <c r="X360" s="37"/>
      <c r="Y360" s="37"/>
      <c r="Z360" s="37"/>
      <c r="AA360" s="37"/>
      <c r="AB360" s="37"/>
      <c r="AC360" s="37"/>
      <c r="AD360" s="37"/>
      <c r="AE360" s="37"/>
    </row>
    <row r="361" spans="1:31" x14ac:dyDescent="0.25">
      <c r="A361" s="37"/>
      <c r="B361" s="37"/>
      <c r="C361" s="37"/>
      <c r="D361" s="37"/>
      <c r="E361" s="37"/>
      <c r="F361" s="37"/>
      <c r="G361" s="37"/>
      <c r="H361" s="37"/>
      <c r="I361" s="37"/>
      <c r="J361" s="37"/>
      <c r="K361" s="37"/>
      <c r="L361" s="37"/>
      <c r="M361" s="37"/>
      <c r="N361" s="37"/>
      <c r="O361" s="37"/>
      <c r="P361" s="37"/>
      <c r="Q361" s="37"/>
      <c r="R361" s="37"/>
      <c r="S361" s="37"/>
      <c r="T361" s="37"/>
      <c r="U361" s="37"/>
      <c r="V361" s="37"/>
      <c r="W361" s="37"/>
      <c r="X361" s="37"/>
      <c r="Y361" s="37"/>
      <c r="Z361" s="37"/>
      <c r="AA361" s="37"/>
      <c r="AB361" s="37"/>
      <c r="AC361" s="37"/>
      <c r="AD361" s="37"/>
      <c r="AE361" s="37"/>
    </row>
    <row r="362" spans="1:31" x14ac:dyDescent="0.25">
      <c r="A362" s="37"/>
      <c r="B362" s="37"/>
      <c r="C362" s="37"/>
      <c r="D362" s="37"/>
      <c r="E362" s="37"/>
      <c r="F362" s="37"/>
      <c r="G362" s="37"/>
      <c r="H362" s="37"/>
      <c r="I362" s="37"/>
      <c r="J362" s="37"/>
      <c r="K362" s="37"/>
      <c r="L362" s="37"/>
      <c r="M362" s="37"/>
      <c r="N362" s="37"/>
      <c r="O362" s="37"/>
      <c r="P362" s="37"/>
      <c r="Q362" s="37"/>
      <c r="R362" s="37"/>
      <c r="S362" s="37"/>
      <c r="T362" s="37"/>
      <c r="U362" s="37"/>
      <c r="V362" s="37"/>
      <c r="W362" s="37"/>
      <c r="X362" s="37"/>
      <c r="Y362" s="37"/>
      <c r="Z362" s="37"/>
      <c r="AA362" s="37"/>
      <c r="AB362" s="37"/>
      <c r="AC362" s="37"/>
      <c r="AD362" s="37"/>
      <c r="AE362" s="37"/>
    </row>
    <row r="363" spans="1:31" x14ac:dyDescent="0.25">
      <c r="A363" s="37"/>
      <c r="B363" s="37"/>
      <c r="C363" s="37"/>
      <c r="D363" s="37"/>
      <c r="E363" s="37"/>
      <c r="F363" s="37"/>
      <c r="G363" s="37"/>
      <c r="H363" s="37"/>
      <c r="I363" s="37"/>
      <c r="J363" s="37"/>
      <c r="K363" s="37"/>
      <c r="L363" s="37"/>
      <c r="M363" s="37"/>
      <c r="N363" s="37"/>
      <c r="O363" s="37"/>
      <c r="P363" s="37"/>
      <c r="Q363" s="37"/>
      <c r="R363" s="37"/>
      <c r="S363" s="37"/>
      <c r="T363" s="37"/>
      <c r="U363" s="37"/>
      <c r="V363" s="37"/>
      <c r="W363" s="37"/>
      <c r="X363" s="37"/>
      <c r="Y363" s="37"/>
      <c r="Z363" s="37"/>
      <c r="AA363" s="37"/>
      <c r="AB363" s="37"/>
      <c r="AC363" s="37"/>
      <c r="AD363" s="37"/>
      <c r="AE363" s="37"/>
    </row>
    <row r="364" spans="1:31" x14ac:dyDescent="0.25">
      <c r="A364" s="37"/>
      <c r="B364" s="37"/>
      <c r="C364" s="37"/>
      <c r="D364" s="37"/>
      <c r="E364" s="37"/>
      <c r="F364" s="37"/>
      <c r="G364" s="37"/>
      <c r="H364" s="37"/>
      <c r="I364" s="37"/>
      <c r="J364" s="37"/>
      <c r="K364" s="37"/>
      <c r="L364" s="37"/>
      <c r="M364" s="37"/>
      <c r="N364" s="37"/>
      <c r="O364" s="37"/>
      <c r="P364" s="37"/>
      <c r="Q364" s="37"/>
      <c r="R364" s="37"/>
      <c r="S364" s="37"/>
      <c r="T364" s="37"/>
      <c r="U364" s="37"/>
      <c r="V364" s="37"/>
      <c r="W364" s="37"/>
      <c r="X364" s="37"/>
      <c r="Y364" s="37"/>
      <c r="Z364" s="37"/>
      <c r="AA364" s="37"/>
      <c r="AB364" s="37"/>
      <c r="AC364" s="37"/>
      <c r="AD364" s="37"/>
      <c r="AE364" s="37"/>
    </row>
    <row r="365" spans="1:31" x14ac:dyDescent="0.25">
      <c r="A365" s="37"/>
      <c r="B365" s="37"/>
      <c r="C365" s="37"/>
      <c r="D365" s="37"/>
      <c r="E365" s="37"/>
      <c r="F365" s="37"/>
      <c r="G365" s="37"/>
      <c r="H365" s="37"/>
      <c r="I365" s="37"/>
      <c r="J365" s="37"/>
      <c r="K365" s="37"/>
      <c r="L365" s="37"/>
      <c r="M365" s="37"/>
      <c r="N365" s="37"/>
      <c r="O365" s="37"/>
      <c r="P365" s="37"/>
      <c r="Q365" s="37"/>
      <c r="R365" s="37"/>
      <c r="S365" s="37"/>
      <c r="T365" s="37"/>
      <c r="U365" s="37"/>
      <c r="V365" s="37"/>
      <c r="W365" s="37"/>
      <c r="X365" s="37"/>
      <c r="Y365" s="37"/>
      <c r="Z365" s="37"/>
      <c r="AA365" s="37"/>
      <c r="AB365" s="37"/>
      <c r="AC365" s="37"/>
      <c r="AD365" s="37"/>
      <c r="AE365" s="37"/>
    </row>
    <row r="366" spans="1:31" x14ac:dyDescent="0.25">
      <c r="A366" s="37"/>
      <c r="B366" s="37"/>
      <c r="C366" s="37"/>
      <c r="D366" s="37"/>
      <c r="E366" s="37"/>
      <c r="F366" s="37"/>
      <c r="G366" s="37"/>
      <c r="H366" s="37"/>
      <c r="I366" s="37"/>
      <c r="J366" s="37"/>
      <c r="K366" s="37"/>
      <c r="L366" s="37"/>
      <c r="M366" s="37"/>
      <c r="N366" s="37"/>
      <c r="O366" s="37"/>
      <c r="P366" s="37"/>
      <c r="Q366" s="37"/>
      <c r="R366" s="37"/>
      <c r="S366" s="37"/>
      <c r="T366" s="37"/>
      <c r="U366" s="37"/>
      <c r="V366" s="37"/>
      <c r="W366" s="37"/>
      <c r="X366" s="37"/>
      <c r="Y366" s="37"/>
      <c r="Z366" s="37"/>
      <c r="AA366" s="37"/>
      <c r="AB366" s="37"/>
      <c r="AC366" s="37"/>
      <c r="AD366" s="37"/>
      <c r="AE366" s="37"/>
    </row>
    <row r="367" spans="1:31" x14ac:dyDescent="0.25">
      <c r="A367" s="37"/>
      <c r="B367" s="37"/>
      <c r="C367" s="37"/>
      <c r="D367" s="37"/>
      <c r="E367" s="37"/>
      <c r="F367" s="37"/>
      <c r="G367" s="37"/>
      <c r="H367" s="37"/>
      <c r="I367" s="37"/>
      <c r="J367" s="37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  <c r="AA367" s="37"/>
      <c r="AB367" s="37"/>
      <c r="AC367" s="37"/>
      <c r="AD367" s="37"/>
      <c r="AE367" s="37"/>
    </row>
    <row r="368" spans="1:31" x14ac:dyDescent="0.25">
      <c r="A368" s="37"/>
      <c r="B368" s="37"/>
      <c r="C368" s="37"/>
      <c r="D368" s="37"/>
      <c r="E368" s="37"/>
      <c r="F368" s="37"/>
      <c r="G368" s="37"/>
      <c r="H368" s="37"/>
      <c r="I368" s="37"/>
      <c r="J368" s="37"/>
      <c r="K368" s="37"/>
      <c r="L368" s="37"/>
      <c r="M368" s="37"/>
      <c r="N368" s="37"/>
      <c r="O368" s="37"/>
      <c r="P368" s="37"/>
      <c r="Q368" s="37"/>
      <c r="R368" s="37"/>
      <c r="S368" s="37"/>
      <c r="T368" s="37"/>
      <c r="U368" s="37"/>
      <c r="V368" s="37"/>
      <c r="W368" s="37"/>
      <c r="X368" s="37"/>
      <c r="Y368" s="37"/>
      <c r="Z368" s="37"/>
      <c r="AA368" s="37"/>
      <c r="AB368" s="37"/>
      <c r="AC368" s="37"/>
      <c r="AD368" s="37"/>
      <c r="AE368" s="37"/>
    </row>
    <row r="369" spans="1:31" x14ac:dyDescent="0.25">
      <c r="A369" s="37"/>
      <c r="B369" s="37"/>
      <c r="C369" s="37"/>
      <c r="D369" s="37"/>
      <c r="E369" s="37"/>
      <c r="F369" s="37"/>
      <c r="G369" s="37"/>
      <c r="H369" s="37"/>
      <c r="I369" s="37"/>
      <c r="J369" s="37"/>
      <c r="K369" s="37"/>
      <c r="L369" s="37"/>
      <c r="M369" s="37"/>
      <c r="N369" s="37"/>
      <c r="O369" s="37"/>
      <c r="P369" s="37"/>
      <c r="Q369" s="37"/>
      <c r="R369" s="37"/>
      <c r="S369" s="37"/>
      <c r="T369" s="37"/>
      <c r="U369" s="37"/>
      <c r="V369" s="37"/>
      <c r="W369" s="37"/>
      <c r="X369" s="37"/>
      <c r="Y369" s="37"/>
      <c r="Z369" s="37"/>
      <c r="AA369" s="37"/>
      <c r="AB369" s="37"/>
      <c r="AC369" s="37"/>
      <c r="AD369" s="37"/>
      <c r="AE369" s="37"/>
    </row>
    <row r="370" spans="1:31" x14ac:dyDescent="0.25">
      <c r="A370" s="37"/>
      <c r="B370" s="37"/>
      <c r="C370" s="37"/>
      <c r="D370" s="37"/>
      <c r="E370" s="37"/>
      <c r="F370" s="37"/>
      <c r="G370" s="37"/>
      <c r="H370" s="37"/>
      <c r="I370" s="37"/>
      <c r="J370" s="37"/>
      <c r="K370" s="37"/>
      <c r="L370" s="37"/>
      <c r="M370" s="37"/>
      <c r="N370" s="37"/>
      <c r="O370" s="37"/>
      <c r="P370" s="37"/>
      <c r="Q370" s="37"/>
      <c r="R370" s="37"/>
      <c r="S370" s="37"/>
      <c r="T370" s="37"/>
      <c r="U370" s="37"/>
      <c r="V370" s="37"/>
      <c r="W370" s="37"/>
      <c r="X370" s="37"/>
      <c r="Y370" s="37"/>
      <c r="Z370" s="37"/>
      <c r="AA370" s="37"/>
      <c r="AB370" s="37"/>
      <c r="AC370" s="37"/>
      <c r="AD370" s="37"/>
      <c r="AE370" s="37"/>
    </row>
    <row r="371" spans="1:31" x14ac:dyDescent="0.25">
      <c r="A371" s="37"/>
      <c r="B371" s="37"/>
      <c r="C371" s="37"/>
      <c r="D371" s="37"/>
      <c r="E371" s="37"/>
      <c r="F371" s="37"/>
      <c r="G371" s="37"/>
      <c r="H371" s="37"/>
      <c r="I371" s="37"/>
      <c r="J371" s="37"/>
      <c r="K371" s="37"/>
      <c r="L371" s="37"/>
      <c r="M371" s="37"/>
      <c r="N371" s="37"/>
      <c r="O371" s="37"/>
      <c r="P371" s="37"/>
      <c r="Q371" s="37"/>
      <c r="R371" s="37"/>
      <c r="S371" s="37"/>
      <c r="T371" s="37"/>
      <c r="U371" s="37"/>
      <c r="V371" s="37"/>
      <c r="W371" s="37"/>
      <c r="X371" s="37"/>
      <c r="Y371" s="37"/>
      <c r="Z371" s="37"/>
      <c r="AA371" s="37"/>
      <c r="AB371" s="37"/>
      <c r="AC371" s="37"/>
      <c r="AD371" s="37"/>
      <c r="AE371" s="37"/>
    </row>
    <row r="372" spans="1:31" x14ac:dyDescent="0.25">
      <c r="A372" s="37"/>
      <c r="B372" s="37"/>
      <c r="C372" s="37"/>
      <c r="D372" s="37"/>
      <c r="E372" s="37"/>
      <c r="F372" s="37"/>
      <c r="G372" s="37"/>
      <c r="H372" s="37"/>
      <c r="I372" s="37"/>
      <c r="J372" s="37"/>
      <c r="K372" s="37"/>
      <c r="L372" s="37"/>
      <c r="M372" s="37"/>
      <c r="N372" s="37"/>
      <c r="O372" s="37"/>
      <c r="P372" s="37"/>
      <c r="Q372" s="37"/>
      <c r="R372" s="37"/>
      <c r="S372" s="37"/>
      <c r="T372" s="37"/>
      <c r="U372" s="37"/>
      <c r="V372" s="37"/>
      <c r="W372" s="37"/>
      <c r="X372" s="37"/>
      <c r="Y372" s="37"/>
      <c r="Z372" s="37"/>
      <c r="AA372" s="37"/>
      <c r="AB372" s="37"/>
      <c r="AC372" s="37"/>
      <c r="AD372" s="37"/>
      <c r="AE372" s="37"/>
    </row>
    <row r="373" spans="1:31" x14ac:dyDescent="0.25">
      <c r="A373" s="37"/>
      <c r="B373" s="37"/>
      <c r="C373" s="37"/>
      <c r="D373" s="37"/>
      <c r="E373" s="37"/>
      <c r="F373" s="37"/>
      <c r="G373" s="37"/>
      <c r="H373" s="37"/>
      <c r="I373" s="37"/>
      <c r="J373" s="37"/>
      <c r="K373" s="37"/>
      <c r="L373" s="37"/>
      <c r="M373" s="37"/>
      <c r="N373" s="37"/>
      <c r="O373" s="37"/>
      <c r="P373" s="37"/>
      <c r="Q373" s="37"/>
      <c r="R373" s="37"/>
      <c r="S373" s="37"/>
      <c r="T373" s="37"/>
      <c r="U373" s="37"/>
      <c r="V373" s="37"/>
      <c r="W373" s="37"/>
      <c r="X373" s="37"/>
      <c r="Y373" s="37"/>
      <c r="Z373" s="37"/>
      <c r="AA373" s="37"/>
      <c r="AB373" s="37"/>
      <c r="AC373" s="37"/>
      <c r="AD373" s="37"/>
      <c r="AE373" s="37"/>
    </row>
    <row r="374" spans="1:31" x14ac:dyDescent="0.25">
      <c r="A374" s="37"/>
      <c r="B374" s="37"/>
      <c r="C374" s="37"/>
      <c r="D374" s="37"/>
      <c r="E374" s="37"/>
      <c r="F374" s="37"/>
      <c r="G374" s="37"/>
      <c r="H374" s="37"/>
      <c r="I374" s="37"/>
      <c r="J374" s="37"/>
      <c r="K374" s="37"/>
      <c r="L374" s="37"/>
      <c r="M374" s="37"/>
      <c r="N374" s="37"/>
      <c r="O374" s="37"/>
      <c r="P374" s="37"/>
      <c r="Q374" s="37"/>
      <c r="R374" s="37"/>
      <c r="S374" s="37"/>
      <c r="T374" s="37"/>
      <c r="U374" s="37"/>
      <c r="V374" s="37"/>
      <c r="W374" s="37"/>
      <c r="X374" s="37"/>
      <c r="Y374" s="37"/>
      <c r="Z374" s="37"/>
      <c r="AA374" s="37"/>
      <c r="AB374" s="37"/>
      <c r="AC374" s="37"/>
      <c r="AD374" s="37"/>
      <c r="AE374" s="37"/>
    </row>
    <row r="375" spans="1:31" x14ac:dyDescent="0.25">
      <c r="A375" s="37"/>
      <c r="B375" s="37"/>
      <c r="C375" s="37"/>
      <c r="D375" s="37"/>
      <c r="E375" s="37"/>
      <c r="F375" s="37"/>
      <c r="G375" s="37"/>
      <c r="H375" s="37"/>
      <c r="I375" s="37"/>
      <c r="J375" s="37"/>
      <c r="K375" s="37"/>
      <c r="L375" s="37"/>
      <c r="M375" s="37"/>
      <c r="N375" s="37"/>
      <c r="O375" s="37"/>
      <c r="P375" s="37"/>
      <c r="Q375" s="37"/>
      <c r="R375" s="37"/>
      <c r="S375" s="37"/>
      <c r="T375" s="37"/>
      <c r="U375" s="37"/>
      <c r="V375" s="37"/>
      <c r="W375" s="37"/>
      <c r="X375" s="37"/>
      <c r="Y375" s="37"/>
      <c r="Z375" s="37"/>
      <c r="AA375" s="37"/>
      <c r="AB375" s="37"/>
      <c r="AC375" s="37"/>
      <c r="AD375" s="37"/>
      <c r="AE375" s="37"/>
    </row>
    <row r="376" spans="1:31" x14ac:dyDescent="0.25">
      <c r="A376" s="37"/>
      <c r="B376" s="37"/>
      <c r="C376" s="37"/>
      <c r="D376" s="37"/>
      <c r="E376" s="37"/>
      <c r="F376" s="37"/>
      <c r="G376" s="37"/>
      <c r="H376" s="37"/>
      <c r="I376" s="37"/>
      <c r="J376" s="37"/>
      <c r="K376" s="37"/>
      <c r="L376" s="37"/>
      <c r="M376" s="37"/>
      <c r="N376" s="37"/>
      <c r="O376" s="37"/>
      <c r="P376" s="37"/>
      <c r="Q376" s="37"/>
      <c r="R376" s="37"/>
      <c r="S376" s="37"/>
      <c r="T376" s="37"/>
      <c r="U376" s="37"/>
      <c r="V376" s="37"/>
      <c r="W376" s="37"/>
      <c r="X376" s="37"/>
      <c r="Y376" s="37"/>
      <c r="Z376" s="37"/>
      <c r="AA376" s="37"/>
      <c r="AB376" s="37"/>
      <c r="AC376" s="37"/>
      <c r="AD376" s="37"/>
      <c r="AE376" s="37"/>
    </row>
    <row r="377" spans="1:31" x14ac:dyDescent="0.25">
      <c r="A377" s="37"/>
      <c r="B377" s="37"/>
      <c r="C377" s="37"/>
      <c r="D377" s="37"/>
      <c r="E377" s="37"/>
      <c r="F377" s="37"/>
      <c r="G377" s="37"/>
      <c r="H377" s="37"/>
      <c r="I377" s="37"/>
      <c r="J377" s="37"/>
      <c r="K377" s="37"/>
      <c r="L377" s="37"/>
      <c r="M377" s="37"/>
      <c r="N377" s="37"/>
      <c r="O377" s="37"/>
      <c r="P377" s="37"/>
      <c r="Q377" s="37"/>
      <c r="R377" s="37"/>
      <c r="S377" s="37"/>
      <c r="T377" s="37"/>
      <c r="U377" s="37"/>
      <c r="V377" s="37"/>
      <c r="W377" s="37"/>
      <c r="X377" s="37"/>
      <c r="Y377" s="37"/>
      <c r="Z377" s="37"/>
      <c r="AA377" s="37"/>
      <c r="AB377" s="37"/>
      <c r="AC377" s="37"/>
      <c r="AD377" s="37"/>
      <c r="AE377" s="37"/>
    </row>
    <row r="378" spans="1:31" x14ac:dyDescent="0.25">
      <c r="A378" s="37"/>
      <c r="B378" s="37"/>
      <c r="C378" s="37"/>
      <c r="D378" s="37"/>
      <c r="E378" s="37"/>
      <c r="F378" s="37"/>
      <c r="G378" s="37"/>
      <c r="H378" s="37"/>
      <c r="I378" s="37"/>
      <c r="J378" s="37"/>
      <c r="K378" s="37"/>
      <c r="L378" s="37"/>
      <c r="M378" s="37"/>
      <c r="N378" s="37"/>
      <c r="O378" s="37"/>
      <c r="P378" s="37"/>
      <c r="Q378" s="37"/>
      <c r="R378" s="37"/>
      <c r="S378" s="37"/>
      <c r="T378" s="37"/>
      <c r="U378" s="37"/>
      <c r="V378" s="37"/>
      <c r="W378" s="37"/>
      <c r="X378" s="37"/>
      <c r="Y378" s="37"/>
      <c r="Z378" s="37"/>
      <c r="AA378" s="37"/>
      <c r="AB378" s="37"/>
      <c r="AC378" s="37"/>
      <c r="AD378" s="37"/>
      <c r="AE378" s="37"/>
    </row>
    <row r="379" spans="1:31" x14ac:dyDescent="0.25">
      <c r="A379" s="37"/>
      <c r="B379" s="37"/>
      <c r="C379" s="37"/>
      <c r="D379" s="37"/>
      <c r="E379" s="37"/>
      <c r="F379" s="37"/>
      <c r="G379" s="37"/>
      <c r="H379" s="37"/>
      <c r="I379" s="37"/>
      <c r="J379" s="37"/>
      <c r="K379" s="37"/>
      <c r="L379" s="37"/>
      <c r="M379" s="37"/>
      <c r="N379" s="37"/>
      <c r="O379" s="37"/>
      <c r="P379" s="37"/>
      <c r="Q379" s="37"/>
      <c r="R379" s="37"/>
      <c r="S379" s="37"/>
      <c r="T379" s="37"/>
      <c r="U379" s="37"/>
      <c r="V379" s="37"/>
      <c r="W379" s="37"/>
      <c r="X379" s="37"/>
      <c r="Y379" s="37"/>
      <c r="Z379" s="37"/>
      <c r="AA379" s="37"/>
      <c r="AB379" s="37"/>
      <c r="AC379" s="37"/>
      <c r="AD379" s="37"/>
      <c r="AE379" s="37"/>
    </row>
    <row r="380" spans="1:31" x14ac:dyDescent="0.25">
      <c r="A380" s="37"/>
      <c r="B380" s="37"/>
      <c r="C380" s="37"/>
      <c r="D380" s="37"/>
      <c r="E380" s="37"/>
      <c r="F380" s="37"/>
      <c r="G380" s="37"/>
      <c r="H380" s="37"/>
      <c r="I380" s="37"/>
      <c r="J380" s="37"/>
      <c r="K380" s="37"/>
      <c r="L380" s="37"/>
      <c r="M380" s="37"/>
      <c r="N380" s="37"/>
      <c r="O380" s="37"/>
      <c r="P380" s="37"/>
      <c r="Q380" s="37"/>
      <c r="R380" s="37"/>
      <c r="S380" s="37"/>
      <c r="T380" s="37"/>
      <c r="U380" s="37"/>
      <c r="V380" s="37"/>
      <c r="W380" s="37"/>
      <c r="X380" s="37"/>
      <c r="Y380" s="37"/>
      <c r="Z380" s="37"/>
      <c r="AA380" s="37"/>
      <c r="AB380" s="37"/>
      <c r="AC380" s="37"/>
      <c r="AD380" s="37"/>
      <c r="AE380" s="37"/>
    </row>
    <row r="381" spans="1:31" x14ac:dyDescent="0.25">
      <c r="A381" s="37"/>
      <c r="B381" s="37"/>
      <c r="C381" s="37"/>
      <c r="D381" s="37"/>
      <c r="E381" s="37"/>
      <c r="F381" s="37"/>
      <c r="G381" s="37"/>
      <c r="H381" s="37"/>
      <c r="I381" s="37"/>
      <c r="J381" s="37"/>
      <c r="K381" s="37"/>
      <c r="L381" s="37"/>
      <c r="M381" s="37"/>
      <c r="N381" s="37"/>
      <c r="O381" s="37"/>
      <c r="P381" s="37"/>
      <c r="Q381" s="37"/>
      <c r="R381" s="37"/>
      <c r="S381" s="37"/>
      <c r="T381" s="37"/>
      <c r="U381" s="37"/>
      <c r="V381" s="37"/>
      <c r="W381" s="37"/>
      <c r="X381" s="37"/>
      <c r="Y381" s="37"/>
      <c r="Z381" s="37"/>
      <c r="AA381" s="37"/>
      <c r="AB381" s="37"/>
      <c r="AC381" s="37"/>
      <c r="AD381" s="37"/>
      <c r="AE381" s="37"/>
    </row>
    <row r="382" spans="1:31" x14ac:dyDescent="0.25">
      <c r="A382" s="37"/>
      <c r="B382" s="37"/>
      <c r="C382" s="37"/>
      <c r="D382" s="37"/>
      <c r="E382" s="37"/>
      <c r="F382" s="37"/>
      <c r="G382" s="37"/>
      <c r="H382" s="37"/>
      <c r="I382" s="37"/>
      <c r="J382" s="37"/>
      <c r="K382" s="37"/>
      <c r="L382" s="37"/>
      <c r="M382" s="37"/>
      <c r="N382" s="37"/>
      <c r="O382" s="37"/>
      <c r="P382" s="37"/>
      <c r="Q382" s="37"/>
      <c r="R382" s="37"/>
      <c r="S382" s="37"/>
      <c r="T382" s="37"/>
      <c r="U382" s="37"/>
      <c r="V382" s="37"/>
      <c r="W382" s="37"/>
      <c r="X382" s="37"/>
      <c r="Y382" s="37"/>
      <c r="Z382" s="37"/>
      <c r="AA382" s="37"/>
      <c r="AB382" s="37"/>
      <c r="AC382" s="37"/>
      <c r="AD382" s="37"/>
      <c r="AE382" s="37"/>
    </row>
    <row r="383" spans="1:31" x14ac:dyDescent="0.25">
      <c r="A383" s="37"/>
      <c r="B383" s="37"/>
      <c r="C383" s="37"/>
      <c r="D383" s="37"/>
      <c r="E383" s="37"/>
      <c r="F383" s="37"/>
      <c r="G383" s="37"/>
      <c r="H383" s="37"/>
      <c r="I383" s="37"/>
      <c r="J383" s="37"/>
      <c r="K383" s="37"/>
      <c r="L383" s="37"/>
      <c r="M383" s="37"/>
      <c r="N383" s="37"/>
      <c r="O383" s="37"/>
      <c r="P383" s="37"/>
      <c r="Q383" s="37"/>
      <c r="R383" s="37"/>
      <c r="S383" s="37"/>
      <c r="T383" s="37"/>
      <c r="U383" s="37"/>
      <c r="V383" s="37"/>
      <c r="W383" s="37"/>
      <c r="X383" s="37"/>
      <c r="Y383" s="37"/>
      <c r="Z383" s="37"/>
      <c r="AA383" s="37"/>
      <c r="AB383" s="37"/>
      <c r="AC383" s="37"/>
      <c r="AD383" s="37"/>
      <c r="AE383" s="37"/>
    </row>
    <row r="384" spans="1:31" x14ac:dyDescent="0.25">
      <c r="A384" s="37"/>
      <c r="B384" s="37"/>
      <c r="C384" s="37"/>
      <c r="D384" s="37"/>
      <c r="E384" s="37"/>
      <c r="F384" s="37"/>
      <c r="G384" s="37"/>
      <c r="H384" s="37"/>
      <c r="I384" s="37"/>
      <c r="J384" s="37"/>
      <c r="K384" s="37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  <c r="AA384" s="37"/>
      <c r="AB384" s="37"/>
      <c r="AC384" s="37"/>
      <c r="AD384" s="37"/>
      <c r="AE384" s="37"/>
    </row>
    <row r="385" spans="1:31" x14ac:dyDescent="0.25">
      <c r="A385" s="37"/>
      <c r="B385" s="37"/>
      <c r="C385" s="37"/>
      <c r="D385" s="37"/>
      <c r="E385" s="37"/>
      <c r="F385" s="37"/>
      <c r="G385" s="37"/>
      <c r="H385" s="37"/>
      <c r="I385" s="37"/>
      <c r="J385" s="37"/>
      <c r="K385" s="37"/>
      <c r="L385" s="37"/>
      <c r="M385" s="37"/>
      <c r="N385" s="37"/>
      <c r="O385" s="37"/>
      <c r="P385" s="37"/>
      <c r="Q385" s="37"/>
      <c r="R385" s="37"/>
      <c r="S385" s="37"/>
      <c r="T385" s="37"/>
      <c r="U385" s="37"/>
      <c r="V385" s="37"/>
      <c r="W385" s="37"/>
      <c r="X385" s="37"/>
      <c r="Y385" s="37"/>
      <c r="Z385" s="37"/>
      <c r="AA385" s="37"/>
      <c r="AB385" s="37"/>
      <c r="AC385" s="37"/>
      <c r="AD385" s="37"/>
      <c r="AE385" s="37"/>
    </row>
    <row r="386" spans="1:31" x14ac:dyDescent="0.25">
      <c r="A386" s="37"/>
      <c r="B386" s="37"/>
      <c r="C386" s="37"/>
      <c r="D386" s="37"/>
      <c r="E386" s="37"/>
      <c r="F386" s="37"/>
      <c r="G386" s="37"/>
      <c r="H386" s="37"/>
      <c r="I386" s="37"/>
      <c r="J386" s="37"/>
      <c r="K386" s="37"/>
      <c r="L386" s="37"/>
      <c r="M386" s="37"/>
      <c r="N386" s="37"/>
      <c r="O386" s="37"/>
      <c r="P386" s="37"/>
      <c r="Q386" s="37"/>
      <c r="R386" s="37"/>
      <c r="S386" s="37"/>
      <c r="T386" s="37"/>
      <c r="U386" s="37"/>
      <c r="V386" s="37"/>
      <c r="W386" s="37"/>
      <c r="X386" s="37"/>
      <c r="Y386" s="37"/>
      <c r="Z386" s="37"/>
      <c r="AA386" s="37"/>
      <c r="AB386" s="37"/>
      <c r="AC386" s="37"/>
      <c r="AD386" s="37"/>
      <c r="AE386" s="37"/>
    </row>
    <row r="387" spans="1:31" x14ac:dyDescent="0.25">
      <c r="A387" s="37"/>
      <c r="B387" s="37"/>
      <c r="C387" s="37"/>
      <c r="D387" s="37"/>
      <c r="E387" s="37"/>
      <c r="F387" s="37"/>
      <c r="G387" s="37"/>
      <c r="H387" s="37"/>
      <c r="I387" s="37"/>
      <c r="J387" s="37"/>
      <c r="K387" s="37"/>
      <c r="L387" s="37"/>
      <c r="M387" s="37"/>
      <c r="N387" s="37"/>
      <c r="O387" s="37"/>
      <c r="P387" s="37"/>
      <c r="Q387" s="37"/>
      <c r="R387" s="37"/>
      <c r="S387" s="37"/>
      <c r="T387" s="37"/>
      <c r="U387" s="37"/>
      <c r="V387" s="37"/>
      <c r="W387" s="37"/>
      <c r="X387" s="37"/>
      <c r="Y387" s="37"/>
      <c r="Z387" s="37"/>
      <c r="AA387" s="37"/>
      <c r="AB387" s="37"/>
      <c r="AC387" s="37"/>
      <c r="AD387" s="37"/>
      <c r="AE387" s="37"/>
    </row>
    <row r="388" spans="1:31" x14ac:dyDescent="0.25">
      <c r="A388" s="37"/>
      <c r="B388" s="37"/>
      <c r="C388" s="37"/>
      <c r="D388" s="37"/>
      <c r="E388" s="37"/>
      <c r="F388" s="37"/>
      <c r="G388" s="37"/>
      <c r="H388" s="37"/>
      <c r="I388" s="37"/>
      <c r="J388" s="37"/>
      <c r="K388" s="37"/>
      <c r="L388" s="37"/>
      <c r="M388" s="37"/>
      <c r="N388" s="37"/>
      <c r="O388" s="37"/>
      <c r="P388" s="37"/>
      <c r="Q388" s="37"/>
      <c r="R388" s="37"/>
      <c r="S388" s="37"/>
      <c r="T388" s="37"/>
      <c r="U388" s="37"/>
      <c r="V388" s="37"/>
      <c r="W388" s="37"/>
      <c r="X388" s="37"/>
      <c r="Y388" s="37"/>
      <c r="Z388" s="37"/>
      <c r="AA388" s="37"/>
      <c r="AB388" s="37"/>
      <c r="AC388" s="37"/>
      <c r="AD388" s="37"/>
      <c r="AE388" s="37"/>
    </row>
    <row r="389" spans="1:31" x14ac:dyDescent="0.25">
      <c r="A389" s="37"/>
      <c r="B389" s="37"/>
      <c r="C389" s="37"/>
      <c r="D389" s="37"/>
      <c r="E389" s="37"/>
      <c r="F389" s="37"/>
      <c r="G389" s="37"/>
      <c r="H389" s="37"/>
      <c r="I389" s="37"/>
      <c r="J389" s="37"/>
      <c r="K389" s="37"/>
      <c r="L389" s="37"/>
      <c r="M389" s="37"/>
      <c r="N389" s="37"/>
      <c r="O389" s="37"/>
      <c r="P389" s="37"/>
      <c r="Q389" s="37"/>
      <c r="R389" s="37"/>
      <c r="S389" s="37"/>
      <c r="T389" s="37"/>
      <c r="U389" s="37"/>
      <c r="V389" s="37"/>
      <c r="W389" s="37"/>
      <c r="X389" s="37"/>
      <c r="Y389" s="37"/>
      <c r="Z389" s="37"/>
      <c r="AA389" s="37"/>
      <c r="AB389" s="37"/>
      <c r="AC389" s="37"/>
      <c r="AD389" s="37"/>
      <c r="AE389" s="37"/>
    </row>
    <row r="390" spans="1:31" x14ac:dyDescent="0.25">
      <c r="A390" s="37"/>
      <c r="B390" s="37"/>
      <c r="C390" s="37"/>
      <c r="D390" s="37"/>
      <c r="E390" s="37"/>
      <c r="F390" s="37"/>
      <c r="G390" s="37"/>
      <c r="H390" s="37"/>
      <c r="I390" s="37"/>
      <c r="J390" s="37"/>
      <c r="K390" s="37"/>
      <c r="L390" s="37"/>
      <c r="M390" s="37"/>
      <c r="N390" s="37"/>
      <c r="O390" s="37"/>
      <c r="P390" s="37"/>
      <c r="Q390" s="37"/>
      <c r="R390" s="37"/>
      <c r="S390" s="37"/>
      <c r="T390" s="37"/>
      <c r="U390" s="37"/>
      <c r="V390" s="37"/>
      <c r="W390" s="37"/>
      <c r="X390" s="37"/>
      <c r="Y390" s="37"/>
      <c r="Z390" s="37"/>
      <c r="AA390" s="37"/>
      <c r="AB390" s="37"/>
      <c r="AC390" s="37"/>
      <c r="AD390" s="37"/>
      <c r="AE390" s="37"/>
    </row>
    <row r="391" spans="1:31" x14ac:dyDescent="0.25">
      <c r="A391" s="37"/>
      <c r="B391" s="37"/>
      <c r="C391" s="37"/>
      <c r="D391" s="37"/>
      <c r="E391" s="37"/>
      <c r="F391" s="37"/>
      <c r="G391" s="37"/>
      <c r="H391" s="37"/>
      <c r="I391" s="37"/>
      <c r="J391" s="37"/>
      <c r="K391" s="37"/>
      <c r="L391" s="37"/>
      <c r="M391" s="37"/>
      <c r="N391" s="37"/>
      <c r="O391" s="37"/>
      <c r="P391" s="37"/>
      <c r="Q391" s="37"/>
      <c r="R391" s="37"/>
      <c r="S391" s="37"/>
      <c r="T391" s="37"/>
      <c r="U391" s="37"/>
      <c r="V391" s="37"/>
      <c r="W391" s="37"/>
      <c r="X391" s="37"/>
      <c r="Y391" s="37"/>
      <c r="Z391" s="37"/>
      <c r="AA391" s="37"/>
      <c r="AB391" s="37"/>
      <c r="AC391" s="37"/>
      <c r="AD391" s="37"/>
      <c r="AE391" s="37"/>
    </row>
    <row r="392" spans="1:31" x14ac:dyDescent="0.25">
      <c r="A392" s="37"/>
      <c r="B392" s="37"/>
      <c r="C392" s="37"/>
      <c r="D392" s="37"/>
      <c r="E392" s="37"/>
      <c r="F392" s="37"/>
      <c r="G392" s="37"/>
      <c r="H392" s="37"/>
      <c r="I392" s="37"/>
      <c r="J392" s="37"/>
      <c r="K392" s="37"/>
      <c r="L392" s="37"/>
      <c r="M392" s="37"/>
      <c r="N392" s="37"/>
      <c r="O392" s="37"/>
      <c r="P392" s="37"/>
      <c r="Q392" s="37"/>
      <c r="R392" s="37"/>
      <c r="S392" s="37"/>
      <c r="T392" s="37"/>
      <c r="U392" s="37"/>
      <c r="V392" s="37"/>
      <c r="W392" s="37"/>
      <c r="X392" s="37"/>
      <c r="Y392" s="37"/>
      <c r="Z392" s="37"/>
      <c r="AA392" s="37"/>
      <c r="AB392" s="37"/>
      <c r="AC392" s="37"/>
      <c r="AD392" s="37"/>
      <c r="AE392" s="37"/>
    </row>
    <row r="393" spans="1:31" x14ac:dyDescent="0.25">
      <c r="A393" s="37"/>
      <c r="B393" s="37"/>
      <c r="C393" s="37"/>
      <c r="D393" s="37"/>
      <c r="E393" s="37"/>
      <c r="F393" s="37"/>
      <c r="G393" s="37"/>
      <c r="H393" s="37"/>
      <c r="I393" s="37"/>
      <c r="J393" s="37"/>
      <c r="K393" s="37"/>
      <c r="L393" s="37"/>
      <c r="M393" s="37"/>
      <c r="N393" s="37"/>
      <c r="O393" s="37"/>
      <c r="P393" s="37"/>
      <c r="Q393" s="37"/>
      <c r="R393" s="37"/>
      <c r="S393" s="37"/>
      <c r="T393" s="37"/>
      <c r="U393" s="37"/>
      <c r="V393" s="37"/>
      <c r="W393" s="37"/>
      <c r="X393" s="37"/>
      <c r="Y393" s="37"/>
      <c r="Z393" s="37"/>
      <c r="AA393" s="37"/>
      <c r="AB393" s="37"/>
      <c r="AC393" s="37"/>
      <c r="AD393" s="37"/>
      <c r="AE393" s="37"/>
    </row>
    <row r="394" spans="1:31" x14ac:dyDescent="0.25">
      <c r="A394" s="37"/>
      <c r="B394" s="37"/>
      <c r="C394" s="37"/>
      <c r="D394" s="37"/>
      <c r="E394" s="37"/>
      <c r="F394" s="37"/>
      <c r="G394" s="37"/>
      <c r="H394" s="37"/>
      <c r="I394" s="37"/>
      <c r="J394" s="37"/>
      <c r="K394" s="37"/>
      <c r="L394" s="37"/>
      <c r="M394" s="37"/>
      <c r="N394" s="37"/>
      <c r="O394" s="37"/>
      <c r="P394" s="37"/>
      <c r="Q394" s="37"/>
      <c r="R394" s="37"/>
      <c r="S394" s="37"/>
      <c r="T394" s="37"/>
      <c r="U394" s="37"/>
      <c r="V394" s="37"/>
      <c r="W394" s="37"/>
      <c r="X394" s="37"/>
      <c r="Y394" s="37"/>
      <c r="Z394" s="37"/>
      <c r="AA394" s="37"/>
      <c r="AB394" s="37"/>
      <c r="AC394" s="37"/>
      <c r="AD394" s="37"/>
      <c r="AE394" s="37"/>
    </row>
    <row r="395" spans="1:31" x14ac:dyDescent="0.25">
      <c r="A395" s="37"/>
      <c r="B395" s="37"/>
      <c r="C395" s="37"/>
      <c r="D395" s="37"/>
      <c r="E395" s="37"/>
      <c r="F395" s="37"/>
      <c r="G395" s="37"/>
      <c r="H395" s="37"/>
      <c r="I395" s="37"/>
      <c r="J395" s="37"/>
      <c r="K395" s="37"/>
      <c r="L395" s="37"/>
      <c r="M395" s="37"/>
      <c r="N395" s="37"/>
      <c r="O395" s="37"/>
      <c r="P395" s="37"/>
      <c r="Q395" s="37"/>
      <c r="R395" s="37"/>
      <c r="S395" s="37"/>
      <c r="T395" s="37"/>
      <c r="U395" s="37"/>
      <c r="V395" s="37"/>
      <c r="W395" s="37"/>
      <c r="X395" s="37"/>
      <c r="Y395" s="37"/>
      <c r="Z395" s="37"/>
      <c r="AA395" s="37"/>
      <c r="AB395" s="37"/>
      <c r="AC395" s="37"/>
      <c r="AD395" s="37"/>
      <c r="AE395" s="37"/>
    </row>
    <row r="396" spans="1:31" x14ac:dyDescent="0.25">
      <c r="A396" s="37"/>
      <c r="B396" s="37"/>
      <c r="C396" s="37"/>
      <c r="D396" s="37"/>
      <c r="E396" s="37"/>
      <c r="F396" s="37"/>
      <c r="G396" s="37"/>
      <c r="H396" s="37"/>
      <c r="I396" s="37"/>
      <c r="J396" s="37"/>
      <c r="K396" s="37"/>
      <c r="L396" s="37"/>
      <c r="M396" s="37"/>
      <c r="N396" s="37"/>
      <c r="O396" s="37"/>
      <c r="P396" s="37"/>
      <c r="Q396" s="37"/>
      <c r="R396" s="37"/>
      <c r="S396" s="37"/>
      <c r="T396" s="37"/>
      <c r="U396" s="37"/>
      <c r="V396" s="37"/>
      <c r="W396" s="37"/>
      <c r="X396" s="37"/>
      <c r="Y396" s="37"/>
      <c r="Z396" s="37"/>
      <c r="AA396" s="37"/>
      <c r="AB396" s="37"/>
      <c r="AC396" s="37"/>
      <c r="AD396" s="37"/>
      <c r="AE396" s="37"/>
    </row>
    <row r="397" spans="1:31" x14ac:dyDescent="0.25">
      <c r="A397" s="37"/>
      <c r="B397" s="37"/>
      <c r="C397" s="37"/>
      <c r="D397" s="37"/>
      <c r="E397" s="37"/>
      <c r="F397" s="37"/>
      <c r="G397" s="37"/>
      <c r="H397" s="37"/>
      <c r="I397" s="37"/>
      <c r="J397" s="37"/>
      <c r="K397" s="37"/>
      <c r="L397" s="37"/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  <c r="AA397" s="37"/>
      <c r="AB397" s="37"/>
      <c r="AC397" s="37"/>
      <c r="AD397" s="37"/>
      <c r="AE397" s="37"/>
    </row>
    <row r="398" spans="1:31" x14ac:dyDescent="0.25">
      <c r="A398" s="37"/>
      <c r="B398" s="37"/>
      <c r="C398" s="37"/>
      <c r="D398" s="37"/>
      <c r="E398" s="37"/>
      <c r="F398" s="37"/>
      <c r="G398" s="37"/>
      <c r="H398" s="37"/>
      <c r="I398" s="37"/>
      <c r="J398" s="37"/>
      <c r="K398" s="37"/>
      <c r="L398" s="37"/>
      <c r="M398" s="37"/>
      <c r="N398" s="37"/>
      <c r="O398" s="37"/>
      <c r="P398" s="37"/>
      <c r="Q398" s="37"/>
      <c r="R398" s="37"/>
      <c r="S398" s="37"/>
      <c r="T398" s="37"/>
      <c r="U398" s="37"/>
      <c r="V398" s="37"/>
      <c r="W398" s="37"/>
      <c r="X398" s="37"/>
      <c r="Y398" s="37"/>
      <c r="Z398" s="37"/>
      <c r="AA398" s="37"/>
      <c r="AB398" s="37"/>
      <c r="AC398" s="37"/>
      <c r="AD398" s="37"/>
      <c r="AE398" s="37"/>
    </row>
    <row r="399" spans="1:31" x14ac:dyDescent="0.25">
      <c r="A399" s="37"/>
      <c r="B399" s="37"/>
      <c r="C399" s="37"/>
      <c r="D399" s="37"/>
      <c r="E399" s="37"/>
      <c r="F399" s="37"/>
      <c r="G399" s="37"/>
      <c r="H399" s="37"/>
      <c r="I399" s="37"/>
      <c r="J399" s="37"/>
      <c r="K399" s="37"/>
      <c r="L399" s="37"/>
      <c r="M399" s="37"/>
      <c r="N399" s="37"/>
      <c r="O399" s="37"/>
      <c r="P399" s="37"/>
      <c r="Q399" s="37"/>
      <c r="R399" s="37"/>
      <c r="S399" s="37"/>
      <c r="T399" s="37"/>
      <c r="U399" s="37"/>
      <c r="V399" s="37"/>
      <c r="W399" s="37"/>
      <c r="X399" s="37"/>
      <c r="Y399" s="37"/>
      <c r="Z399" s="37"/>
      <c r="AA399" s="37"/>
      <c r="AB399" s="37"/>
      <c r="AC399" s="37"/>
      <c r="AD399" s="37"/>
      <c r="AE399" s="37"/>
    </row>
    <row r="400" spans="1:31" x14ac:dyDescent="0.25">
      <c r="A400" s="37"/>
      <c r="B400" s="37"/>
      <c r="C400" s="37"/>
      <c r="D400" s="37"/>
      <c r="E400" s="37"/>
      <c r="F400" s="37"/>
      <c r="G400" s="37"/>
      <c r="H400" s="37"/>
      <c r="I400" s="37"/>
      <c r="J400" s="37"/>
      <c r="K400" s="37"/>
      <c r="L400" s="37"/>
      <c r="M400" s="37"/>
      <c r="N400" s="37"/>
      <c r="O400" s="37"/>
      <c r="P400" s="37"/>
      <c r="Q400" s="37"/>
      <c r="R400" s="37"/>
      <c r="S400" s="37"/>
      <c r="T400" s="37"/>
      <c r="U400" s="37"/>
      <c r="V400" s="37"/>
      <c r="W400" s="37"/>
      <c r="X400" s="37"/>
      <c r="Y400" s="37"/>
      <c r="Z400" s="37"/>
      <c r="AA400" s="37"/>
      <c r="AB400" s="37"/>
      <c r="AC400" s="37"/>
      <c r="AD400" s="37"/>
      <c r="AE400" s="37"/>
    </row>
    <row r="401" spans="1:31" x14ac:dyDescent="0.25">
      <c r="A401" s="37"/>
      <c r="B401" s="37"/>
      <c r="C401" s="37"/>
      <c r="D401" s="37"/>
      <c r="E401" s="37"/>
      <c r="F401" s="37"/>
      <c r="G401" s="37"/>
      <c r="H401" s="37"/>
      <c r="I401" s="37"/>
      <c r="J401" s="37"/>
      <c r="K401" s="37"/>
      <c r="L401" s="37"/>
      <c r="M401" s="37"/>
      <c r="N401" s="37"/>
      <c r="O401" s="37"/>
      <c r="P401" s="37"/>
      <c r="Q401" s="37"/>
      <c r="R401" s="37"/>
      <c r="S401" s="37"/>
      <c r="T401" s="37"/>
      <c r="U401" s="37"/>
      <c r="V401" s="37"/>
      <c r="W401" s="37"/>
      <c r="X401" s="37"/>
      <c r="Y401" s="37"/>
      <c r="Z401" s="37"/>
      <c r="AA401" s="37"/>
      <c r="AB401" s="37"/>
      <c r="AC401" s="37"/>
      <c r="AD401" s="37"/>
      <c r="AE401" s="37"/>
    </row>
    <row r="402" spans="1:31" x14ac:dyDescent="0.25">
      <c r="A402" s="37"/>
      <c r="B402" s="37"/>
      <c r="C402" s="37"/>
      <c r="D402" s="37"/>
      <c r="E402" s="37"/>
      <c r="F402" s="37"/>
      <c r="G402" s="37"/>
      <c r="H402" s="37"/>
      <c r="I402" s="37"/>
      <c r="J402" s="37"/>
      <c r="K402" s="37"/>
      <c r="L402" s="37"/>
      <c r="M402" s="37"/>
      <c r="N402" s="37"/>
      <c r="O402" s="37"/>
      <c r="P402" s="37"/>
      <c r="Q402" s="37"/>
      <c r="R402" s="37"/>
      <c r="S402" s="37"/>
      <c r="T402" s="37"/>
      <c r="U402" s="37"/>
      <c r="V402" s="37"/>
      <c r="W402" s="37"/>
      <c r="X402" s="37"/>
      <c r="Y402" s="37"/>
      <c r="Z402" s="37"/>
      <c r="AA402" s="37"/>
      <c r="AB402" s="37"/>
      <c r="AC402" s="37"/>
      <c r="AD402" s="37"/>
      <c r="AE402" s="37"/>
    </row>
    <row r="403" spans="1:31" x14ac:dyDescent="0.25">
      <c r="A403" s="37"/>
      <c r="B403" s="37"/>
      <c r="C403" s="37"/>
      <c r="D403" s="37"/>
      <c r="E403" s="37"/>
      <c r="F403" s="37"/>
      <c r="G403" s="37"/>
      <c r="H403" s="37"/>
      <c r="I403" s="37"/>
      <c r="J403" s="37"/>
      <c r="K403" s="37"/>
      <c r="L403" s="37"/>
      <c r="M403" s="37"/>
      <c r="N403" s="37"/>
      <c r="O403" s="37"/>
      <c r="P403" s="37"/>
      <c r="Q403" s="37"/>
      <c r="R403" s="37"/>
      <c r="S403" s="37"/>
      <c r="T403" s="37"/>
      <c r="U403" s="37"/>
      <c r="V403" s="37"/>
      <c r="W403" s="37"/>
      <c r="X403" s="37"/>
      <c r="Y403" s="37"/>
      <c r="Z403" s="37"/>
      <c r="AA403" s="37"/>
      <c r="AB403" s="37"/>
      <c r="AC403" s="37"/>
      <c r="AD403" s="37"/>
      <c r="AE403" s="37"/>
    </row>
    <row r="404" spans="1:31" x14ac:dyDescent="0.25">
      <c r="A404" s="37"/>
      <c r="B404" s="37"/>
      <c r="C404" s="37"/>
      <c r="D404" s="37"/>
      <c r="E404" s="37"/>
      <c r="F404" s="37"/>
      <c r="G404" s="37"/>
      <c r="H404" s="37"/>
      <c r="I404" s="37"/>
      <c r="J404" s="37"/>
      <c r="K404" s="37"/>
      <c r="L404" s="37"/>
      <c r="M404" s="37"/>
      <c r="N404" s="37"/>
      <c r="O404" s="37"/>
      <c r="P404" s="37"/>
      <c r="Q404" s="37"/>
      <c r="R404" s="37"/>
      <c r="S404" s="37"/>
      <c r="T404" s="37"/>
      <c r="U404" s="37"/>
      <c r="V404" s="37"/>
      <c r="W404" s="37"/>
      <c r="X404" s="37"/>
      <c r="Y404" s="37"/>
      <c r="Z404" s="37"/>
      <c r="AA404" s="37"/>
      <c r="AB404" s="37"/>
      <c r="AC404" s="37"/>
      <c r="AD404" s="37"/>
      <c r="AE404" s="37"/>
    </row>
    <row r="405" spans="1:31" x14ac:dyDescent="0.25">
      <c r="A405" s="37"/>
      <c r="B405" s="37"/>
      <c r="C405" s="37"/>
      <c r="D405" s="37"/>
      <c r="E405" s="37"/>
      <c r="F405" s="37"/>
      <c r="G405" s="37"/>
      <c r="H405" s="37"/>
      <c r="I405" s="37"/>
      <c r="J405" s="37"/>
      <c r="K405" s="37"/>
      <c r="L405" s="37"/>
      <c r="M405" s="37"/>
      <c r="N405" s="37"/>
      <c r="O405" s="37"/>
      <c r="P405" s="37"/>
      <c r="Q405" s="37"/>
      <c r="R405" s="37"/>
      <c r="S405" s="37"/>
      <c r="T405" s="37"/>
      <c r="U405" s="37"/>
      <c r="V405" s="37"/>
      <c r="W405" s="37"/>
      <c r="X405" s="37"/>
      <c r="Y405" s="37"/>
      <c r="Z405" s="37"/>
      <c r="AA405" s="37"/>
      <c r="AB405" s="37"/>
      <c r="AC405" s="37"/>
      <c r="AD405" s="37"/>
      <c r="AE405" s="37"/>
    </row>
    <row r="406" spans="1:31" x14ac:dyDescent="0.25">
      <c r="A406" s="37"/>
      <c r="B406" s="37"/>
      <c r="C406" s="37"/>
      <c r="D406" s="37"/>
      <c r="E406" s="37"/>
      <c r="F406" s="37"/>
      <c r="G406" s="37"/>
      <c r="H406" s="37"/>
      <c r="I406" s="37"/>
      <c r="J406" s="37"/>
      <c r="K406" s="37"/>
      <c r="L406" s="37"/>
      <c r="M406" s="37"/>
      <c r="N406" s="37"/>
      <c r="O406" s="37"/>
      <c r="P406" s="37"/>
      <c r="Q406" s="37"/>
      <c r="R406" s="37"/>
      <c r="S406" s="37"/>
      <c r="T406" s="37"/>
      <c r="U406" s="37"/>
      <c r="V406" s="37"/>
      <c r="W406" s="37"/>
      <c r="X406" s="37"/>
      <c r="Y406" s="37"/>
      <c r="Z406" s="37"/>
      <c r="AA406" s="37"/>
      <c r="AB406" s="37"/>
      <c r="AC406" s="37"/>
      <c r="AD406" s="37"/>
      <c r="AE406" s="37"/>
    </row>
    <row r="407" spans="1:31" x14ac:dyDescent="0.25">
      <c r="A407" s="37"/>
      <c r="B407" s="37"/>
      <c r="C407" s="37"/>
      <c r="D407" s="37"/>
      <c r="E407" s="37"/>
      <c r="F407" s="37"/>
      <c r="G407" s="37"/>
      <c r="H407" s="37"/>
      <c r="I407" s="37"/>
      <c r="J407" s="37"/>
      <c r="K407" s="37"/>
      <c r="L407" s="37"/>
      <c r="M407" s="37"/>
      <c r="N407" s="37"/>
      <c r="O407" s="37"/>
      <c r="P407" s="37"/>
      <c r="Q407" s="37"/>
      <c r="R407" s="37"/>
      <c r="S407" s="37"/>
      <c r="T407" s="37"/>
      <c r="U407" s="37"/>
      <c r="V407" s="37"/>
      <c r="W407" s="37"/>
      <c r="X407" s="37"/>
      <c r="Y407" s="37"/>
      <c r="Z407" s="37"/>
      <c r="AA407" s="37"/>
      <c r="AB407" s="37"/>
      <c r="AC407" s="37"/>
      <c r="AD407" s="37"/>
      <c r="AE407" s="37"/>
    </row>
    <row r="408" spans="1:31" x14ac:dyDescent="0.25">
      <c r="A408" s="37"/>
      <c r="B408" s="37"/>
      <c r="C408" s="37"/>
      <c r="D408" s="37"/>
      <c r="E408" s="37"/>
      <c r="F408" s="37"/>
      <c r="G408" s="37"/>
      <c r="H408" s="37"/>
      <c r="I408" s="37"/>
      <c r="J408" s="37"/>
      <c r="K408" s="37"/>
      <c r="L408" s="37"/>
      <c r="M408" s="37"/>
      <c r="N408" s="37"/>
      <c r="O408" s="37"/>
      <c r="P408" s="37"/>
      <c r="Q408" s="37"/>
      <c r="R408" s="37"/>
      <c r="S408" s="37"/>
      <c r="T408" s="37"/>
      <c r="U408" s="37"/>
      <c r="V408" s="37"/>
      <c r="W408" s="37"/>
      <c r="X408" s="37"/>
      <c r="Y408" s="37"/>
      <c r="Z408" s="37"/>
      <c r="AA408" s="37"/>
      <c r="AB408" s="37"/>
      <c r="AC408" s="37"/>
      <c r="AD408" s="37"/>
      <c r="AE408" s="37"/>
    </row>
    <row r="409" spans="1:31" x14ac:dyDescent="0.25">
      <c r="A409" s="37"/>
      <c r="B409" s="37"/>
      <c r="C409" s="37"/>
      <c r="D409" s="37"/>
      <c r="E409" s="37"/>
      <c r="F409" s="37"/>
      <c r="G409" s="37"/>
      <c r="H409" s="37"/>
      <c r="I409" s="37"/>
      <c r="J409" s="37"/>
      <c r="K409" s="37"/>
      <c r="L409" s="37"/>
      <c r="M409" s="37"/>
      <c r="N409" s="37"/>
      <c r="O409" s="37"/>
      <c r="P409" s="37"/>
      <c r="Q409" s="37"/>
      <c r="R409" s="37"/>
      <c r="S409" s="37"/>
      <c r="T409" s="37"/>
      <c r="U409" s="37"/>
      <c r="V409" s="37"/>
      <c r="W409" s="37"/>
      <c r="X409" s="37"/>
      <c r="Y409" s="37"/>
      <c r="Z409" s="37"/>
      <c r="AA409" s="37"/>
      <c r="AB409" s="37"/>
      <c r="AC409" s="37"/>
      <c r="AD409" s="37"/>
      <c r="AE409" s="37"/>
    </row>
    <row r="410" spans="1:31" x14ac:dyDescent="0.25">
      <c r="A410" s="37"/>
      <c r="B410" s="37"/>
      <c r="C410" s="37"/>
      <c r="D410" s="37"/>
      <c r="E410" s="37"/>
      <c r="F410" s="37"/>
      <c r="G410" s="37"/>
      <c r="H410" s="37"/>
      <c r="I410" s="37"/>
      <c r="J410" s="37"/>
      <c r="K410" s="37"/>
      <c r="L410" s="37"/>
      <c r="M410" s="37"/>
      <c r="N410" s="37"/>
      <c r="O410" s="37"/>
      <c r="P410" s="37"/>
      <c r="Q410" s="37"/>
      <c r="R410" s="37"/>
      <c r="S410" s="37"/>
      <c r="T410" s="37"/>
      <c r="U410" s="37"/>
      <c r="V410" s="37"/>
      <c r="W410" s="37"/>
      <c r="X410" s="37"/>
      <c r="Y410" s="37"/>
      <c r="Z410" s="37"/>
      <c r="AA410" s="37"/>
      <c r="AB410" s="37"/>
      <c r="AC410" s="37"/>
      <c r="AD410" s="37"/>
      <c r="AE410" s="37"/>
    </row>
    <row r="411" spans="1:31" x14ac:dyDescent="0.25">
      <c r="A411" s="37"/>
      <c r="B411" s="37"/>
      <c r="C411" s="37"/>
      <c r="D411" s="37"/>
      <c r="E411" s="37"/>
      <c r="F411" s="37"/>
      <c r="G411" s="37"/>
      <c r="H411" s="37"/>
      <c r="I411" s="37"/>
      <c r="J411" s="37"/>
      <c r="K411" s="37"/>
      <c r="L411" s="37"/>
      <c r="M411" s="37"/>
      <c r="N411" s="37"/>
      <c r="O411" s="37"/>
      <c r="P411" s="37"/>
      <c r="Q411" s="37"/>
      <c r="R411" s="37"/>
      <c r="S411" s="37"/>
      <c r="T411" s="37"/>
      <c r="U411" s="37"/>
      <c r="V411" s="37"/>
      <c r="W411" s="37"/>
      <c r="X411" s="37"/>
      <c r="Y411" s="37"/>
      <c r="Z411" s="37"/>
      <c r="AA411" s="37"/>
      <c r="AB411" s="37"/>
      <c r="AC411" s="37"/>
      <c r="AD411" s="37"/>
      <c r="AE411" s="37"/>
    </row>
    <row r="412" spans="1:31" x14ac:dyDescent="0.25">
      <c r="A412" s="37"/>
      <c r="B412" s="37"/>
      <c r="C412" s="37"/>
      <c r="D412" s="37"/>
      <c r="E412" s="37"/>
      <c r="F412" s="37"/>
      <c r="G412" s="37"/>
      <c r="H412" s="37"/>
      <c r="I412" s="37"/>
      <c r="J412" s="37"/>
      <c r="K412" s="37"/>
      <c r="L412" s="37"/>
      <c r="M412" s="37"/>
      <c r="N412" s="37"/>
      <c r="O412" s="37"/>
      <c r="P412" s="37"/>
      <c r="Q412" s="37"/>
      <c r="R412" s="37"/>
      <c r="S412" s="37"/>
      <c r="T412" s="37"/>
      <c r="U412" s="37"/>
      <c r="V412" s="37"/>
      <c r="W412" s="37"/>
      <c r="X412" s="37"/>
      <c r="Y412" s="37"/>
      <c r="Z412" s="37"/>
      <c r="AA412" s="37"/>
      <c r="AB412" s="37"/>
      <c r="AC412" s="37"/>
      <c r="AD412" s="37"/>
      <c r="AE412" s="37"/>
    </row>
    <row r="413" spans="1:31" x14ac:dyDescent="0.25">
      <c r="A413" s="37"/>
      <c r="B413" s="37"/>
      <c r="C413" s="37"/>
      <c r="D413" s="37"/>
      <c r="E413" s="37"/>
      <c r="F413" s="37"/>
      <c r="G413" s="37"/>
      <c r="H413" s="37"/>
      <c r="I413" s="37"/>
      <c r="J413" s="37"/>
      <c r="K413" s="37"/>
      <c r="L413" s="37"/>
      <c r="M413" s="37"/>
      <c r="N413" s="37"/>
      <c r="O413" s="37"/>
      <c r="P413" s="37"/>
      <c r="Q413" s="37"/>
      <c r="R413" s="37"/>
      <c r="S413" s="37"/>
      <c r="T413" s="37"/>
      <c r="U413" s="37"/>
      <c r="V413" s="37"/>
      <c r="W413" s="37"/>
      <c r="X413" s="37"/>
      <c r="Y413" s="37"/>
      <c r="Z413" s="37"/>
      <c r="AA413" s="37"/>
      <c r="AB413" s="37"/>
      <c r="AC413" s="37"/>
      <c r="AD413" s="37"/>
      <c r="AE413" s="37"/>
    </row>
    <row r="414" spans="1:31" x14ac:dyDescent="0.25">
      <c r="A414" s="37"/>
      <c r="B414" s="37"/>
      <c r="C414" s="37"/>
      <c r="D414" s="37"/>
      <c r="E414" s="37"/>
      <c r="F414" s="37"/>
      <c r="G414" s="37"/>
      <c r="H414" s="37"/>
      <c r="I414" s="37"/>
      <c r="J414" s="37"/>
      <c r="K414" s="37"/>
      <c r="L414" s="37"/>
      <c r="M414" s="37"/>
      <c r="N414" s="37"/>
      <c r="O414" s="37"/>
      <c r="P414" s="37"/>
      <c r="Q414" s="37"/>
      <c r="R414" s="37"/>
      <c r="S414" s="37"/>
      <c r="T414" s="37"/>
      <c r="U414" s="37"/>
      <c r="V414" s="37"/>
      <c r="W414" s="37"/>
      <c r="X414" s="37"/>
      <c r="Y414" s="37"/>
      <c r="Z414" s="37"/>
      <c r="AA414" s="37"/>
      <c r="AB414" s="37"/>
      <c r="AC414" s="37"/>
      <c r="AD414" s="37"/>
      <c r="AE414" s="37"/>
    </row>
    <row r="415" spans="1:31" x14ac:dyDescent="0.25">
      <c r="A415" s="37"/>
      <c r="B415" s="37"/>
      <c r="C415" s="37"/>
      <c r="D415" s="37"/>
      <c r="E415" s="37"/>
      <c r="F415" s="37"/>
      <c r="G415" s="37"/>
      <c r="H415" s="37"/>
      <c r="I415" s="37"/>
      <c r="J415" s="37"/>
      <c r="K415" s="37"/>
      <c r="L415" s="37"/>
      <c r="M415" s="37"/>
      <c r="N415" s="37"/>
      <c r="O415" s="37"/>
      <c r="P415" s="37"/>
      <c r="Q415" s="37"/>
      <c r="R415" s="37"/>
      <c r="S415" s="37"/>
      <c r="T415" s="37"/>
      <c r="U415" s="37"/>
      <c r="V415" s="37"/>
      <c r="W415" s="37"/>
      <c r="X415" s="37"/>
      <c r="Y415" s="37"/>
      <c r="Z415" s="37"/>
      <c r="AA415" s="37"/>
      <c r="AB415" s="37"/>
      <c r="AC415" s="37"/>
      <c r="AD415" s="37"/>
      <c r="AE415" s="37"/>
    </row>
    <row r="416" spans="1:31" x14ac:dyDescent="0.25">
      <c r="A416" s="37"/>
      <c r="B416" s="37"/>
      <c r="C416" s="37"/>
      <c r="D416" s="37"/>
      <c r="E416" s="37"/>
      <c r="F416" s="37"/>
      <c r="G416" s="37"/>
      <c r="H416" s="37"/>
      <c r="I416" s="37"/>
      <c r="J416" s="37"/>
      <c r="K416" s="37"/>
      <c r="L416" s="37"/>
      <c r="M416" s="37"/>
      <c r="N416" s="37"/>
      <c r="O416" s="37"/>
      <c r="P416" s="37"/>
      <c r="Q416" s="37"/>
      <c r="R416" s="37"/>
      <c r="S416" s="37"/>
      <c r="T416" s="37"/>
      <c r="U416" s="37"/>
      <c r="V416" s="37"/>
      <c r="W416" s="37"/>
      <c r="X416" s="37"/>
      <c r="Y416" s="37"/>
      <c r="Z416" s="37"/>
      <c r="AA416" s="37"/>
      <c r="AB416" s="37"/>
      <c r="AC416" s="37"/>
      <c r="AD416" s="37"/>
      <c r="AE416" s="37"/>
    </row>
    <row r="417" spans="1:31" x14ac:dyDescent="0.25">
      <c r="A417" s="37"/>
      <c r="B417" s="37"/>
      <c r="C417" s="37"/>
      <c r="D417" s="37"/>
      <c r="E417" s="37"/>
      <c r="F417" s="37"/>
      <c r="G417" s="37"/>
      <c r="H417" s="37"/>
      <c r="I417" s="37"/>
      <c r="J417" s="37"/>
      <c r="K417" s="37"/>
      <c r="L417" s="37"/>
      <c r="M417" s="37"/>
      <c r="N417" s="37"/>
      <c r="O417" s="37"/>
      <c r="P417" s="37"/>
      <c r="Q417" s="37"/>
      <c r="R417" s="37"/>
      <c r="S417" s="37"/>
      <c r="T417" s="37"/>
      <c r="U417" s="37"/>
      <c r="V417" s="37"/>
      <c r="W417" s="37"/>
      <c r="X417" s="37"/>
      <c r="Y417" s="37"/>
      <c r="Z417" s="37"/>
      <c r="AA417" s="37"/>
      <c r="AB417" s="37"/>
      <c r="AC417" s="37"/>
      <c r="AD417" s="37"/>
      <c r="AE417" s="37"/>
    </row>
    <row r="418" spans="1:31" x14ac:dyDescent="0.25">
      <c r="A418" s="37"/>
      <c r="B418" s="37"/>
      <c r="C418" s="37"/>
      <c r="D418" s="37"/>
      <c r="E418" s="37"/>
      <c r="F418" s="37"/>
      <c r="G418" s="37"/>
      <c r="H418" s="37"/>
      <c r="I418" s="37"/>
      <c r="J418" s="37"/>
      <c r="K418" s="37"/>
      <c r="L418" s="37"/>
      <c r="M418" s="37"/>
      <c r="N418" s="37"/>
      <c r="O418" s="37"/>
      <c r="P418" s="37"/>
      <c r="Q418" s="37"/>
      <c r="R418" s="37"/>
      <c r="S418" s="37"/>
      <c r="T418" s="37"/>
      <c r="U418" s="37"/>
      <c r="V418" s="37"/>
      <c r="W418" s="37"/>
      <c r="X418" s="37"/>
      <c r="Y418" s="37"/>
      <c r="Z418" s="37"/>
      <c r="AA418" s="37"/>
      <c r="AB418" s="37"/>
      <c r="AC418" s="37"/>
      <c r="AD418" s="37"/>
      <c r="AE418" s="37"/>
    </row>
    <row r="419" spans="1:31" x14ac:dyDescent="0.25">
      <c r="A419" s="37"/>
      <c r="B419" s="37"/>
      <c r="C419" s="37"/>
      <c r="D419" s="37"/>
      <c r="E419" s="37"/>
      <c r="F419" s="37"/>
      <c r="G419" s="37"/>
      <c r="H419" s="37"/>
      <c r="I419" s="37"/>
      <c r="J419" s="37"/>
      <c r="K419" s="37"/>
      <c r="L419" s="37"/>
      <c r="M419" s="37"/>
      <c r="N419" s="37"/>
      <c r="O419" s="37"/>
      <c r="P419" s="37"/>
      <c r="Q419" s="37"/>
      <c r="R419" s="37"/>
      <c r="S419" s="37"/>
      <c r="T419" s="37"/>
      <c r="U419" s="37"/>
      <c r="V419" s="37"/>
      <c r="W419" s="37"/>
      <c r="X419" s="37"/>
      <c r="Y419" s="37"/>
      <c r="Z419" s="37"/>
      <c r="AA419" s="37"/>
      <c r="AB419" s="37"/>
      <c r="AC419" s="37"/>
      <c r="AD419" s="37"/>
      <c r="AE419" s="37"/>
    </row>
    <row r="420" spans="1:31" x14ac:dyDescent="0.25">
      <c r="A420" s="37"/>
      <c r="B420" s="37"/>
      <c r="C420" s="37"/>
      <c r="D420" s="37"/>
      <c r="E420" s="37"/>
      <c r="F420" s="37"/>
      <c r="G420" s="37"/>
      <c r="H420" s="37"/>
      <c r="I420" s="37"/>
      <c r="J420" s="37"/>
      <c r="K420" s="37"/>
      <c r="L420" s="37"/>
      <c r="M420" s="37"/>
      <c r="N420" s="37"/>
      <c r="O420" s="37"/>
      <c r="P420" s="37"/>
      <c r="Q420" s="37"/>
      <c r="R420" s="37"/>
      <c r="S420" s="37"/>
      <c r="T420" s="37"/>
      <c r="U420" s="37"/>
      <c r="V420" s="37"/>
      <c r="W420" s="37"/>
      <c r="X420" s="37"/>
      <c r="Y420" s="37"/>
      <c r="Z420" s="37"/>
      <c r="AA420" s="37"/>
      <c r="AB420" s="37"/>
      <c r="AC420" s="37"/>
      <c r="AD420" s="37"/>
      <c r="AE420" s="37"/>
    </row>
    <row r="421" spans="1:31" x14ac:dyDescent="0.25">
      <c r="A421" s="37"/>
      <c r="B421" s="37"/>
      <c r="C421" s="37"/>
      <c r="D421" s="37"/>
      <c r="E421" s="37"/>
      <c r="F421" s="37"/>
      <c r="G421" s="37"/>
      <c r="H421" s="37"/>
      <c r="I421" s="37"/>
      <c r="J421" s="37"/>
      <c r="K421" s="37"/>
      <c r="L421" s="37"/>
      <c r="M421" s="37"/>
      <c r="N421" s="37"/>
      <c r="O421" s="37"/>
      <c r="P421" s="37"/>
      <c r="Q421" s="37"/>
      <c r="R421" s="37"/>
      <c r="S421" s="37"/>
      <c r="T421" s="37"/>
      <c r="U421" s="37"/>
      <c r="V421" s="37"/>
      <c r="W421" s="37"/>
      <c r="X421" s="37"/>
      <c r="Y421" s="37"/>
      <c r="Z421" s="37"/>
      <c r="AA421" s="37"/>
      <c r="AB421" s="37"/>
      <c r="AC421" s="37"/>
      <c r="AD421" s="37"/>
      <c r="AE421" s="37"/>
    </row>
    <row r="422" spans="1:31" x14ac:dyDescent="0.25">
      <c r="A422" s="37"/>
      <c r="B422" s="37"/>
      <c r="C422" s="37"/>
      <c r="D422" s="37"/>
      <c r="E422" s="37"/>
      <c r="F422" s="37"/>
      <c r="G422" s="37"/>
      <c r="H422" s="37"/>
      <c r="I422" s="37"/>
      <c r="J422" s="37"/>
      <c r="K422" s="37"/>
      <c r="L422" s="37"/>
      <c r="M422" s="37"/>
      <c r="N422" s="37"/>
      <c r="O422" s="37"/>
      <c r="P422" s="37"/>
      <c r="Q422" s="37"/>
      <c r="R422" s="37"/>
      <c r="S422" s="37"/>
      <c r="T422" s="37"/>
      <c r="U422" s="37"/>
      <c r="V422" s="37"/>
      <c r="W422" s="37"/>
      <c r="X422" s="37"/>
      <c r="Y422" s="37"/>
      <c r="Z422" s="37"/>
      <c r="AA422" s="37"/>
      <c r="AB422" s="37"/>
      <c r="AC422" s="37"/>
      <c r="AD422" s="37"/>
      <c r="AE422" s="37"/>
    </row>
    <row r="423" spans="1:31" x14ac:dyDescent="0.25">
      <c r="A423" s="37"/>
      <c r="B423" s="37"/>
      <c r="C423" s="37"/>
      <c r="D423" s="37"/>
      <c r="E423" s="37"/>
      <c r="F423" s="37"/>
      <c r="G423" s="37"/>
      <c r="H423" s="37"/>
      <c r="I423" s="37"/>
      <c r="J423" s="37"/>
      <c r="K423" s="37"/>
      <c r="L423" s="37"/>
      <c r="M423" s="37"/>
      <c r="N423" s="37"/>
      <c r="O423" s="37"/>
      <c r="P423" s="37"/>
      <c r="Q423" s="37"/>
      <c r="R423" s="37"/>
      <c r="S423" s="37"/>
      <c r="T423" s="37"/>
      <c r="U423" s="37"/>
      <c r="V423" s="37"/>
      <c r="W423" s="37"/>
      <c r="X423" s="37"/>
      <c r="Y423" s="37"/>
      <c r="Z423" s="37"/>
      <c r="AA423" s="37"/>
      <c r="AB423" s="37"/>
      <c r="AC423" s="37"/>
      <c r="AD423" s="37"/>
      <c r="AE423" s="37"/>
    </row>
    <row r="424" spans="1:31" x14ac:dyDescent="0.25">
      <c r="A424" s="37"/>
      <c r="B424" s="37"/>
      <c r="C424" s="37"/>
      <c r="D424" s="37"/>
      <c r="E424" s="37"/>
      <c r="F424" s="37"/>
      <c r="G424" s="37"/>
      <c r="H424" s="37"/>
      <c r="I424" s="37"/>
      <c r="J424" s="37"/>
      <c r="K424" s="37"/>
      <c r="L424" s="37"/>
      <c r="M424" s="37"/>
      <c r="N424" s="37"/>
      <c r="O424" s="37"/>
      <c r="P424" s="37"/>
      <c r="Q424" s="37"/>
      <c r="R424" s="37"/>
      <c r="S424" s="37"/>
      <c r="T424" s="37"/>
      <c r="U424" s="37"/>
      <c r="V424" s="37"/>
      <c r="W424" s="37"/>
      <c r="X424" s="37"/>
      <c r="Y424" s="37"/>
      <c r="Z424" s="37"/>
      <c r="AA424" s="37"/>
      <c r="AB424" s="37"/>
      <c r="AC424" s="37"/>
      <c r="AD424" s="37"/>
      <c r="AE424" s="37"/>
    </row>
    <row r="425" spans="1:31" x14ac:dyDescent="0.25">
      <c r="A425" s="37"/>
      <c r="B425" s="37"/>
      <c r="C425" s="37"/>
      <c r="D425" s="37"/>
      <c r="E425" s="37"/>
      <c r="F425" s="37"/>
      <c r="G425" s="37"/>
      <c r="H425" s="37"/>
      <c r="I425" s="37"/>
      <c r="J425" s="37"/>
      <c r="K425" s="37"/>
      <c r="L425" s="37"/>
      <c r="M425" s="37"/>
      <c r="N425" s="37"/>
      <c r="O425" s="37"/>
      <c r="P425" s="37"/>
      <c r="Q425" s="37"/>
      <c r="R425" s="37"/>
      <c r="S425" s="37"/>
      <c r="T425" s="37"/>
      <c r="U425" s="37"/>
      <c r="V425" s="37"/>
      <c r="W425" s="37"/>
      <c r="X425" s="37"/>
      <c r="Y425" s="37"/>
      <c r="Z425" s="37"/>
      <c r="AA425" s="37"/>
      <c r="AB425" s="37"/>
      <c r="AC425" s="37"/>
      <c r="AD425" s="37"/>
      <c r="AE425" s="37"/>
    </row>
    <row r="426" spans="1:31" x14ac:dyDescent="0.25">
      <c r="A426" s="37"/>
      <c r="B426" s="37"/>
      <c r="C426" s="37"/>
      <c r="D426" s="37"/>
      <c r="E426" s="37"/>
      <c r="F426" s="37"/>
      <c r="G426" s="37"/>
      <c r="H426" s="37"/>
      <c r="I426" s="37"/>
      <c r="J426" s="37"/>
      <c r="K426" s="37"/>
      <c r="L426" s="37"/>
      <c r="M426" s="37"/>
      <c r="N426" s="37"/>
      <c r="O426" s="37"/>
      <c r="P426" s="37"/>
      <c r="Q426" s="37"/>
      <c r="R426" s="37"/>
      <c r="S426" s="37"/>
      <c r="T426" s="37"/>
      <c r="U426" s="37"/>
      <c r="V426" s="37"/>
      <c r="W426" s="37"/>
      <c r="X426" s="37"/>
      <c r="Y426" s="37"/>
      <c r="Z426" s="37"/>
      <c r="AA426" s="37"/>
      <c r="AB426" s="37"/>
      <c r="AC426" s="37"/>
      <c r="AD426" s="37"/>
      <c r="AE426" s="37"/>
    </row>
    <row r="427" spans="1:31" x14ac:dyDescent="0.25">
      <c r="A427" s="37"/>
      <c r="B427" s="37"/>
      <c r="C427" s="37"/>
      <c r="D427" s="37"/>
      <c r="E427" s="37"/>
      <c r="F427" s="37"/>
      <c r="G427" s="37"/>
      <c r="H427" s="37"/>
      <c r="I427" s="37"/>
      <c r="J427" s="37"/>
      <c r="K427" s="37"/>
      <c r="L427" s="37"/>
      <c r="M427" s="37"/>
      <c r="N427" s="37"/>
      <c r="O427" s="37"/>
      <c r="P427" s="37"/>
      <c r="Q427" s="37"/>
      <c r="R427" s="37"/>
      <c r="S427" s="37"/>
      <c r="T427" s="37"/>
      <c r="U427" s="37"/>
      <c r="V427" s="37"/>
      <c r="W427" s="37"/>
      <c r="X427" s="37"/>
      <c r="Y427" s="37"/>
      <c r="Z427" s="37"/>
      <c r="AA427" s="37"/>
      <c r="AB427" s="37"/>
      <c r="AC427" s="37"/>
      <c r="AD427" s="37"/>
      <c r="AE427" s="37"/>
    </row>
    <row r="428" spans="1:31" x14ac:dyDescent="0.25">
      <c r="A428" s="37"/>
      <c r="B428" s="37"/>
      <c r="C428" s="37"/>
      <c r="D428" s="37"/>
      <c r="E428" s="37"/>
      <c r="F428" s="37"/>
      <c r="G428" s="37"/>
      <c r="H428" s="37"/>
      <c r="I428" s="37"/>
      <c r="J428" s="37"/>
      <c r="K428" s="37"/>
      <c r="L428" s="37"/>
      <c r="M428" s="37"/>
      <c r="N428" s="37"/>
      <c r="O428" s="37"/>
      <c r="P428" s="37"/>
      <c r="Q428" s="37"/>
      <c r="R428" s="37"/>
      <c r="S428" s="37"/>
      <c r="T428" s="37"/>
      <c r="U428" s="37"/>
      <c r="V428" s="37"/>
      <c r="W428" s="37"/>
      <c r="X428" s="37"/>
      <c r="Y428" s="37"/>
      <c r="Z428" s="37"/>
      <c r="AA428" s="37"/>
      <c r="AB428" s="37"/>
      <c r="AC428" s="37"/>
      <c r="AD428" s="37"/>
      <c r="AE428" s="37"/>
    </row>
    <row r="429" spans="1:31" x14ac:dyDescent="0.25">
      <c r="A429" s="37"/>
      <c r="B429" s="37"/>
      <c r="C429" s="37"/>
      <c r="D429" s="37"/>
      <c r="E429" s="37"/>
      <c r="F429" s="37"/>
      <c r="G429" s="37"/>
      <c r="H429" s="37"/>
      <c r="I429" s="37"/>
      <c r="J429" s="37"/>
      <c r="K429" s="37"/>
      <c r="L429" s="37"/>
      <c r="M429" s="37"/>
      <c r="N429" s="37"/>
      <c r="O429" s="37"/>
      <c r="P429" s="37"/>
      <c r="Q429" s="37"/>
      <c r="R429" s="37"/>
      <c r="S429" s="37"/>
      <c r="T429" s="37"/>
      <c r="U429" s="37"/>
      <c r="V429" s="37"/>
      <c r="W429" s="37"/>
      <c r="X429" s="37"/>
      <c r="Y429" s="37"/>
      <c r="Z429" s="37"/>
      <c r="AA429" s="37"/>
      <c r="AB429" s="37"/>
      <c r="AC429" s="37"/>
      <c r="AD429" s="37"/>
      <c r="AE429" s="37"/>
    </row>
    <row r="430" spans="1:31" x14ac:dyDescent="0.25">
      <c r="A430" s="37"/>
      <c r="B430" s="37"/>
      <c r="C430" s="37"/>
      <c r="D430" s="37"/>
      <c r="E430" s="37"/>
      <c r="F430" s="37"/>
      <c r="G430" s="37"/>
      <c r="H430" s="37"/>
      <c r="I430" s="37"/>
      <c r="J430" s="37"/>
      <c r="K430" s="37"/>
      <c r="L430" s="37"/>
      <c r="M430" s="37"/>
      <c r="N430" s="37"/>
      <c r="O430" s="37"/>
      <c r="P430" s="37"/>
      <c r="Q430" s="37"/>
      <c r="R430" s="37"/>
      <c r="S430" s="37"/>
      <c r="T430" s="37"/>
      <c r="U430" s="37"/>
      <c r="V430" s="37"/>
      <c r="W430" s="37"/>
      <c r="X430" s="37"/>
      <c r="Y430" s="37"/>
      <c r="Z430" s="37"/>
      <c r="AA430" s="37"/>
      <c r="AB430" s="37"/>
      <c r="AC430" s="37"/>
      <c r="AD430" s="37"/>
      <c r="AE430" s="37"/>
    </row>
    <row r="431" spans="1:31" x14ac:dyDescent="0.25">
      <c r="A431" s="37"/>
      <c r="B431" s="37"/>
      <c r="C431" s="37"/>
      <c r="D431" s="37"/>
      <c r="E431" s="37"/>
      <c r="F431" s="37"/>
      <c r="G431" s="37"/>
      <c r="H431" s="37"/>
      <c r="I431" s="37"/>
      <c r="J431" s="37"/>
      <c r="K431" s="37"/>
      <c r="L431" s="37"/>
      <c r="M431" s="37"/>
      <c r="N431" s="37"/>
      <c r="O431" s="37"/>
      <c r="P431" s="37"/>
      <c r="Q431" s="37"/>
      <c r="R431" s="37"/>
      <c r="S431" s="37"/>
      <c r="T431" s="37"/>
      <c r="U431" s="37"/>
      <c r="V431" s="37"/>
      <c r="W431" s="37"/>
      <c r="X431" s="37"/>
      <c r="Y431" s="37"/>
      <c r="Z431" s="37"/>
      <c r="AA431" s="37"/>
      <c r="AB431" s="37"/>
      <c r="AC431" s="37"/>
      <c r="AD431" s="37"/>
      <c r="AE431" s="37"/>
    </row>
    <row r="432" spans="1:31" x14ac:dyDescent="0.25">
      <c r="A432" s="37"/>
      <c r="B432" s="37"/>
      <c r="C432" s="37"/>
      <c r="D432" s="37"/>
      <c r="E432" s="37"/>
      <c r="F432" s="37"/>
      <c r="G432" s="37"/>
      <c r="H432" s="37"/>
      <c r="I432" s="37"/>
      <c r="J432" s="37"/>
      <c r="K432" s="37"/>
      <c r="L432" s="37"/>
      <c r="M432" s="37"/>
      <c r="N432" s="37"/>
      <c r="O432" s="37"/>
      <c r="P432" s="37"/>
      <c r="Q432" s="37"/>
      <c r="R432" s="37"/>
      <c r="S432" s="37"/>
      <c r="T432" s="37"/>
      <c r="U432" s="37"/>
      <c r="V432" s="37"/>
      <c r="W432" s="37"/>
      <c r="X432" s="37"/>
      <c r="Y432" s="37"/>
      <c r="Z432" s="37"/>
      <c r="AA432" s="37"/>
      <c r="AB432" s="37"/>
      <c r="AC432" s="37"/>
      <c r="AD432" s="37"/>
      <c r="AE432" s="37"/>
    </row>
    <row r="433" spans="1:31" x14ac:dyDescent="0.25">
      <c r="A433" s="37"/>
      <c r="B433" s="37"/>
      <c r="C433" s="37"/>
      <c r="D433" s="37"/>
      <c r="E433" s="37"/>
      <c r="F433" s="37"/>
      <c r="G433" s="37"/>
      <c r="H433" s="37"/>
      <c r="I433" s="37"/>
      <c r="J433" s="37"/>
      <c r="K433" s="37"/>
      <c r="L433" s="37"/>
      <c r="M433" s="37"/>
      <c r="N433" s="37"/>
      <c r="O433" s="37"/>
      <c r="P433" s="37"/>
      <c r="Q433" s="37"/>
      <c r="R433" s="37"/>
      <c r="S433" s="37"/>
      <c r="T433" s="37"/>
      <c r="U433" s="37"/>
      <c r="V433" s="37"/>
      <c r="W433" s="37"/>
      <c r="X433" s="37"/>
      <c r="Y433" s="37"/>
      <c r="Z433" s="37"/>
      <c r="AA433" s="37"/>
      <c r="AB433" s="37"/>
      <c r="AC433" s="37"/>
      <c r="AD433" s="37"/>
      <c r="AE433" s="37"/>
    </row>
    <row r="434" spans="1:31" x14ac:dyDescent="0.25">
      <c r="A434" s="37"/>
      <c r="B434" s="37"/>
      <c r="C434" s="37"/>
      <c r="D434" s="37"/>
      <c r="E434" s="37"/>
      <c r="F434" s="37"/>
      <c r="G434" s="37"/>
      <c r="H434" s="37"/>
      <c r="I434" s="37"/>
      <c r="J434" s="37"/>
      <c r="K434" s="37"/>
      <c r="L434" s="37"/>
      <c r="M434" s="37"/>
      <c r="N434" s="37"/>
      <c r="O434" s="37"/>
      <c r="P434" s="37"/>
      <c r="Q434" s="37"/>
      <c r="R434" s="37"/>
      <c r="S434" s="37"/>
      <c r="T434" s="37"/>
      <c r="U434" s="37"/>
      <c r="V434" s="37"/>
      <c r="W434" s="37"/>
      <c r="X434" s="37"/>
      <c r="Y434" s="37"/>
      <c r="Z434" s="37"/>
      <c r="AA434" s="37"/>
      <c r="AB434" s="37"/>
      <c r="AC434" s="37"/>
      <c r="AD434" s="37"/>
      <c r="AE434" s="37"/>
    </row>
    <row r="435" spans="1:31" x14ac:dyDescent="0.25">
      <c r="A435" s="37"/>
      <c r="B435" s="37"/>
      <c r="C435" s="37"/>
      <c r="D435" s="37"/>
      <c r="E435" s="37"/>
      <c r="F435" s="37"/>
      <c r="G435" s="37"/>
      <c r="H435" s="37"/>
      <c r="I435" s="37"/>
      <c r="J435" s="37"/>
      <c r="K435" s="37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37"/>
      <c r="Y435" s="37"/>
      <c r="Z435" s="37"/>
      <c r="AA435" s="37"/>
      <c r="AB435" s="37"/>
      <c r="AC435" s="37"/>
      <c r="AD435" s="37"/>
      <c r="AE435" s="37"/>
    </row>
    <row r="436" spans="1:31" x14ac:dyDescent="0.25">
      <c r="A436" s="37"/>
      <c r="B436" s="37"/>
      <c r="C436" s="37"/>
      <c r="D436" s="37"/>
      <c r="E436" s="37"/>
      <c r="F436" s="37"/>
      <c r="G436" s="37"/>
      <c r="H436" s="37"/>
      <c r="I436" s="37"/>
      <c r="J436" s="37"/>
      <c r="K436" s="37"/>
      <c r="L436" s="37"/>
      <c r="M436" s="37"/>
      <c r="N436" s="37"/>
      <c r="O436" s="37"/>
      <c r="P436" s="37"/>
      <c r="Q436" s="37"/>
      <c r="R436" s="37"/>
      <c r="S436" s="37"/>
      <c r="T436" s="37"/>
      <c r="U436" s="37"/>
      <c r="V436" s="37"/>
      <c r="W436" s="37"/>
      <c r="X436" s="37"/>
      <c r="Y436" s="37"/>
      <c r="Z436" s="37"/>
      <c r="AA436" s="37"/>
      <c r="AB436" s="37"/>
      <c r="AC436" s="37"/>
      <c r="AD436" s="37"/>
      <c r="AE436" s="37"/>
    </row>
    <row r="437" spans="1:31" x14ac:dyDescent="0.25">
      <c r="A437" s="37"/>
      <c r="B437" s="37"/>
      <c r="C437" s="37"/>
      <c r="D437" s="37"/>
      <c r="E437" s="37"/>
      <c r="F437" s="37"/>
      <c r="G437" s="37"/>
      <c r="H437" s="37"/>
      <c r="I437" s="37"/>
      <c r="J437" s="37"/>
      <c r="K437" s="37"/>
      <c r="L437" s="37"/>
      <c r="M437" s="37"/>
      <c r="N437" s="37"/>
      <c r="O437" s="37"/>
      <c r="P437" s="37"/>
      <c r="Q437" s="37"/>
      <c r="R437" s="37"/>
      <c r="S437" s="37"/>
      <c r="T437" s="37"/>
      <c r="U437" s="37"/>
      <c r="V437" s="37"/>
      <c r="W437" s="37"/>
      <c r="X437" s="37"/>
      <c r="Y437" s="37"/>
      <c r="Z437" s="37"/>
      <c r="AA437" s="37"/>
      <c r="AB437" s="37"/>
      <c r="AC437" s="37"/>
      <c r="AD437" s="37"/>
      <c r="AE437" s="37"/>
    </row>
    <row r="438" spans="1:31" x14ac:dyDescent="0.25">
      <c r="A438" s="37"/>
      <c r="B438" s="37"/>
      <c r="C438" s="37"/>
      <c r="D438" s="37"/>
      <c r="E438" s="37"/>
      <c r="F438" s="37"/>
      <c r="G438" s="37"/>
      <c r="H438" s="37"/>
      <c r="I438" s="37"/>
      <c r="J438" s="37"/>
      <c r="K438" s="37"/>
      <c r="L438" s="37"/>
      <c r="M438" s="37"/>
      <c r="N438" s="37"/>
      <c r="O438" s="37"/>
      <c r="P438" s="37"/>
      <c r="Q438" s="37"/>
      <c r="R438" s="37"/>
      <c r="S438" s="37"/>
      <c r="T438" s="37"/>
      <c r="U438" s="37"/>
      <c r="V438" s="37"/>
      <c r="W438" s="37"/>
      <c r="X438" s="37"/>
      <c r="Y438" s="37"/>
      <c r="Z438" s="37"/>
      <c r="AA438" s="37"/>
      <c r="AB438" s="37"/>
      <c r="AC438" s="37"/>
      <c r="AD438" s="37"/>
      <c r="AE438" s="37"/>
    </row>
    <row r="439" spans="1:31" x14ac:dyDescent="0.25">
      <c r="A439" s="37"/>
      <c r="B439" s="37"/>
      <c r="C439" s="37"/>
      <c r="D439" s="37"/>
      <c r="E439" s="37"/>
      <c r="F439" s="37"/>
      <c r="G439" s="37"/>
      <c r="H439" s="37"/>
      <c r="I439" s="37"/>
      <c r="J439" s="37"/>
      <c r="K439" s="37"/>
      <c r="L439" s="37"/>
      <c r="M439" s="37"/>
      <c r="N439" s="37"/>
      <c r="O439" s="37"/>
      <c r="P439" s="37"/>
      <c r="Q439" s="37"/>
      <c r="R439" s="37"/>
      <c r="S439" s="37"/>
      <c r="T439" s="37"/>
      <c r="U439" s="37"/>
      <c r="V439" s="37"/>
      <c r="W439" s="37"/>
      <c r="X439" s="37"/>
      <c r="Y439" s="37"/>
      <c r="Z439" s="37"/>
      <c r="AA439" s="37"/>
      <c r="AB439" s="37"/>
      <c r="AC439" s="37"/>
      <c r="AD439" s="37"/>
      <c r="AE439" s="37"/>
    </row>
    <row r="440" spans="1:31" x14ac:dyDescent="0.25">
      <c r="A440" s="37"/>
      <c r="B440" s="37"/>
      <c r="C440" s="37"/>
      <c r="D440" s="37"/>
      <c r="E440" s="37"/>
      <c r="F440" s="37"/>
      <c r="G440" s="37"/>
      <c r="H440" s="37"/>
      <c r="I440" s="37"/>
      <c r="J440" s="37"/>
      <c r="K440" s="37"/>
      <c r="L440" s="37"/>
      <c r="M440" s="37"/>
      <c r="N440" s="37"/>
      <c r="O440" s="37"/>
      <c r="P440" s="37"/>
      <c r="Q440" s="37"/>
      <c r="R440" s="37"/>
      <c r="S440" s="37"/>
      <c r="T440" s="37"/>
      <c r="U440" s="37"/>
      <c r="V440" s="37"/>
      <c r="W440" s="37"/>
      <c r="X440" s="37"/>
      <c r="Y440" s="37"/>
      <c r="Z440" s="37"/>
      <c r="AA440" s="37"/>
      <c r="AB440" s="37"/>
      <c r="AC440" s="37"/>
      <c r="AD440" s="37"/>
      <c r="AE440" s="37"/>
    </row>
    <row r="441" spans="1:31" x14ac:dyDescent="0.25">
      <c r="A441" s="37"/>
      <c r="B441" s="37"/>
      <c r="C441" s="37"/>
      <c r="D441" s="37"/>
      <c r="E441" s="37"/>
      <c r="F441" s="37"/>
      <c r="G441" s="37"/>
      <c r="H441" s="37"/>
      <c r="I441" s="37"/>
      <c r="J441" s="37"/>
      <c r="K441" s="37"/>
      <c r="L441" s="37"/>
      <c r="M441" s="37"/>
      <c r="N441" s="37"/>
      <c r="O441" s="37"/>
      <c r="P441" s="37"/>
      <c r="Q441" s="37"/>
      <c r="R441" s="37"/>
      <c r="S441" s="37"/>
      <c r="T441" s="37"/>
      <c r="U441" s="37"/>
      <c r="V441" s="37"/>
      <c r="W441" s="37"/>
      <c r="X441" s="37"/>
      <c r="Y441" s="37"/>
      <c r="Z441" s="37"/>
      <c r="AA441" s="37"/>
      <c r="AB441" s="37"/>
      <c r="AC441" s="37"/>
      <c r="AD441" s="37"/>
      <c r="AE441" s="37"/>
    </row>
    <row r="442" spans="1:31" x14ac:dyDescent="0.25">
      <c r="A442" s="37"/>
      <c r="B442" s="37"/>
      <c r="C442" s="37"/>
      <c r="D442" s="37"/>
      <c r="E442" s="37"/>
      <c r="F442" s="37"/>
      <c r="G442" s="37"/>
      <c r="H442" s="37"/>
      <c r="I442" s="37"/>
      <c r="J442" s="37"/>
      <c r="K442" s="37"/>
      <c r="L442" s="37"/>
      <c r="M442" s="37"/>
      <c r="N442" s="37"/>
      <c r="O442" s="37"/>
      <c r="P442" s="37"/>
      <c r="Q442" s="37"/>
      <c r="R442" s="37"/>
      <c r="S442" s="37"/>
      <c r="T442" s="37"/>
      <c r="U442" s="37"/>
      <c r="V442" s="37"/>
      <c r="W442" s="37"/>
      <c r="X442" s="37"/>
      <c r="Y442" s="37"/>
      <c r="Z442" s="37"/>
      <c r="AA442" s="37"/>
      <c r="AB442" s="37"/>
      <c r="AC442" s="37"/>
      <c r="AD442" s="37"/>
      <c r="AE442" s="37"/>
    </row>
    <row r="443" spans="1:31" x14ac:dyDescent="0.25">
      <c r="A443" s="37"/>
      <c r="B443" s="37"/>
      <c r="C443" s="37"/>
      <c r="D443" s="37"/>
      <c r="E443" s="37"/>
      <c r="F443" s="37"/>
      <c r="G443" s="37"/>
      <c r="H443" s="37"/>
      <c r="I443" s="37"/>
      <c r="J443" s="37"/>
      <c r="K443" s="37"/>
      <c r="L443" s="37"/>
      <c r="M443" s="37"/>
      <c r="N443" s="37"/>
      <c r="O443" s="37"/>
      <c r="P443" s="37"/>
      <c r="Q443" s="37"/>
      <c r="R443" s="37"/>
      <c r="S443" s="37"/>
      <c r="T443" s="37"/>
      <c r="U443" s="37"/>
      <c r="V443" s="37"/>
      <c r="W443" s="37"/>
      <c r="X443" s="37"/>
      <c r="Y443" s="37"/>
      <c r="Z443" s="37"/>
      <c r="AA443" s="37"/>
      <c r="AB443" s="37"/>
      <c r="AC443" s="37"/>
      <c r="AD443" s="37"/>
      <c r="AE443" s="37"/>
    </row>
    <row r="444" spans="1:31" x14ac:dyDescent="0.25">
      <c r="A444" s="37"/>
      <c r="B444" s="37"/>
      <c r="C444" s="37"/>
      <c r="D444" s="37"/>
      <c r="E444" s="37"/>
      <c r="F444" s="37"/>
      <c r="G444" s="37"/>
      <c r="H444" s="37"/>
      <c r="I444" s="37"/>
      <c r="J444" s="37"/>
      <c r="K444" s="37"/>
      <c r="L444" s="37"/>
      <c r="M444" s="37"/>
      <c r="N444" s="37"/>
      <c r="O444" s="37"/>
      <c r="P444" s="37"/>
      <c r="Q444" s="37"/>
      <c r="R444" s="37"/>
      <c r="S444" s="37"/>
      <c r="T444" s="37"/>
      <c r="U444" s="37"/>
      <c r="V444" s="37"/>
      <c r="W444" s="37"/>
      <c r="X444" s="37"/>
      <c r="Y444" s="37"/>
      <c r="Z444" s="37"/>
      <c r="AA444" s="37"/>
      <c r="AB444" s="37"/>
      <c r="AC444" s="37"/>
      <c r="AD444" s="37"/>
      <c r="AE444" s="37"/>
    </row>
    <row r="445" spans="1:31" x14ac:dyDescent="0.25">
      <c r="A445" s="37"/>
      <c r="B445" s="37"/>
      <c r="C445" s="37"/>
      <c r="D445" s="37"/>
      <c r="E445" s="37"/>
      <c r="F445" s="37"/>
      <c r="G445" s="37"/>
      <c r="H445" s="37"/>
      <c r="I445" s="37"/>
      <c r="J445" s="37"/>
      <c r="K445" s="37"/>
      <c r="L445" s="37"/>
      <c r="M445" s="37"/>
      <c r="N445" s="37"/>
      <c r="O445" s="37"/>
      <c r="P445" s="37"/>
      <c r="Q445" s="37"/>
      <c r="R445" s="37"/>
      <c r="S445" s="37"/>
      <c r="T445" s="37"/>
      <c r="U445" s="37"/>
      <c r="V445" s="37"/>
      <c r="W445" s="37"/>
      <c r="X445" s="37"/>
      <c r="Y445" s="37"/>
      <c r="Z445" s="37"/>
      <c r="AA445" s="37"/>
      <c r="AB445" s="37"/>
      <c r="AC445" s="37"/>
      <c r="AD445" s="37"/>
      <c r="AE445" s="37"/>
    </row>
    <row r="446" spans="1:31" x14ac:dyDescent="0.25">
      <c r="A446" s="37"/>
      <c r="B446" s="37"/>
      <c r="C446" s="37"/>
      <c r="D446" s="37"/>
      <c r="E446" s="37"/>
      <c r="F446" s="37"/>
      <c r="G446" s="37"/>
      <c r="H446" s="37"/>
      <c r="I446" s="37"/>
      <c r="J446" s="37"/>
      <c r="K446" s="37"/>
      <c r="L446" s="37"/>
      <c r="M446" s="37"/>
      <c r="N446" s="37"/>
      <c r="O446" s="37"/>
      <c r="P446" s="37"/>
      <c r="Q446" s="37"/>
      <c r="R446" s="37"/>
      <c r="S446" s="37"/>
      <c r="T446" s="37"/>
      <c r="U446" s="37"/>
      <c r="V446" s="37"/>
      <c r="W446" s="37"/>
      <c r="X446" s="37"/>
      <c r="Y446" s="37"/>
      <c r="Z446" s="37"/>
      <c r="AA446" s="37"/>
      <c r="AB446" s="37"/>
      <c r="AC446" s="37"/>
      <c r="AD446" s="37"/>
      <c r="AE446" s="37"/>
    </row>
    <row r="447" spans="1:31" x14ac:dyDescent="0.25">
      <c r="A447" s="37"/>
      <c r="B447" s="37"/>
      <c r="C447" s="37"/>
      <c r="D447" s="37"/>
      <c r="E447" s="37"/>
      <c r="F447" s="37"/>
      <c r="G447" s="37"/>
      <c r="H447" s="37"/>
      <c r="I447" s="37"/>
      <c r="J447" s="37"/>
      <c r="K447" s="37"/>
      <c r="L447" s="37"/>
      <c r="M447" s="37"/>
      <c r="N447" s="37"/>
      <c r="O447" s="37"/>
      <c r="P447" s="37"/>
      <c r="Q447" s="37"/>
      <c r="R447" s="37"/>
      <c r="S447" s="37"/>
      <c r="T447" s="37"/>
      <c r="U447" s="37"/>
      <c r="V447" s="37"/>
      <c r="W447" s="37"/>
      <c r="X447" s="37"/>
      <c r="Y447" s="37"/>
      <c r="Z447" s="37"/>
      <c r="AA447" s="37"/>
      <c r="AB447" s="37"/>
      <c r="AC447" s="37"/>
      <c r="AD447" s="37"/>
      <c r="AE447" s="37"/>
    </row>
    <row r="448" spans="1:31" x14ac:dyDescent="0.25">
      <c r="A448" s="37"/>
      <c r="B448" s="37"/>
      <c r="C448" s="37"/>
      <c r="D448" s="37"/>
      <c r="E448" s="37"/>
      <c r="F448" s="37"/>
      <c r="G448" s="37"/>
      <c r="H448" s="37"/>
      <c r="I448" s="37"/>
      <c r="J448" s="37"/>
      <c r="K448" s="37"/>
      <c r="L448" s="37"/>
      <c r="M448" s="37"/>
      <c r="N448" s="37"/>
      <c r="O448" s="37"/>
      <c r="P448" s="37"/>
      <c r="Q448" s="37"/>
      <c r="R448" s="37"/>
      <c r="S448" s="37"/>
      <c r="T448" s="37"/>
      <c r="U448" s="37"/>
      <c r="V448" s="37"/>
      <c r="W448" s="37"/>
      <c r="X448" s="37"/>
      <c r="Y448" s="37"/>
      <c r="Z448" s="37"/>
      <c r="AA448" s="37"/>
      <c r="AB448" s="37"/>
      <c r="AC448" s="37"/>
      <c r="AD448" s="37"/>
      <c r="AE448" s="37"/>
    </row>
    <row r="449" spans="1:31" x14ac:dyDescent="0.25">
      <c r="A449" s="37"/>
      <c r="B449" s="37"/>
      <c r="C449" s="37"/>
      <c r="D449" s="37"/>
      <c r="E449" s="37"/>
      <c r="F449" s="37"/>
      <c r="G449" s="37"/>
      <c r="H449" s="37"/>
      <c r="I449" s="37"/>
      <c r="J449" s="37"/>
      <c r="K449" s="37"/>
      <c r="L449" s="37"/>
      <c r="M449" s="37"/>
      <c r="N449" s="37"/>
      <c r="O449" s="37"/>
      <c r="P449" s="37"/>
      <c r="Q449" s="37"/>
      <c r="R449" s="37"/>
      <c r="S449" s="37"/>
      <c r="T449" s="37"/>
      <c r="U449" s="37"/>
      <c r="V449" s="37"/>
      <c r="W449" s="37"/>
      <c r="X449" s="37"/>
      <c r="Y449" s="37"/>
      <c r="Z449" s="37"/>
      <c r="AA449" s="37"/>
      <c r="AB449" s="37"/>
      <c r="AC449" s="37"/>
      <c r="AD449" s="37"/>
      <c r="AE449" s="37"/>
    </row>
    <row r="450" spans="1:31" x14ac:dyDescent="0.25">
      <c r="A450" s="37"/>
      <c r="B450" s="37"/>
      <c r="C450" s="37"/>
      <c r="D450" s="37"/>
      <c r="E450" s="37"/>
      <c r="F450" s="37"/>
      <c r="G450" s="37"/>
      <c r="H450" s="37"/>
      <c r="I450" s="37"/>
      <c r="J450" s="37"/>
      <c r="K450" s="37"/>
      <c r="L450" s="37"/>
      <c r="M450" s="37"/>
      <c r="N450" s="37"/>
      <c r="O450" s="37"/>
      <c r="P450" s="37"/>
      <c r="Q450" s="37"/>
      <c r="R450" s="37"/>
      <c r="S450" s="37"/>
      <c r="T450" s="37"/>
      <c r="U450" s="37"/>
      <c r="V450" s="37"/>
      <c r="W450" s="37"/>
      <c r="X450" s="37"/>
      <c r="Y450" s="37"/>
      <c r="Z450" s="37"/>
      <c r="AA450" s="37"/>
      <c r="AB450" s="37"/>
      <c r="AC450" s="37"/>
      <c r="AD450" s="37"/>
      <c r="AE450" s="37"/>
    </row>
    <row r="451" spans="1:31" x14ac:dyDescent="0.25">
      <c r="A451" s="37"/>
      <c r="B451" s="37"/>
      <c r="C451" s="37"/>
      <c r="D451" s="37"/>
      <c r="E451" s="37"/>
      <c r="F451" s="37"/>
      <c r="G451" s="37"/>
      <c r="H451" s="37"/>
      <c r="I451" s="37"/>
      <c r="J451" s="37"/>
      <c r="K451" s="37"/>
      <c r="L451" s="37"/>
      <c r="M451" s="37"/>
      <c r="N451" s="37"/>
      <c r="O451" s="37"/>
      <c r="P451" s="37"/>
      <c r="Q451" s="37"/>
      <c r="R451" s="37"/>
      <c r="S451" s="37"/>
      <c r="T451" s="37"/>
      <c r="U451" s="37"/>
      <c r="V451" s="37"/>
      <c r="W451" s="37"/>
      <c r="X451" s="37"/>
      <c r="Y451" s="37"/>
      <c r="Z451" s="37"/>
      <c r="AA451" s="37"/>
      <c r="AB451" s="37"/>
      <c r="AC451" s="37"/>
      <c r="AD451" s="37"/>
      <c r="AE451" s="37"/>
    </row>
    <row r="452" spans="1:31" x14ac:dyDescent="0.25">
      <c r="A452" s="37"/>
      <c r="B452" s="37"/>
      <c r="C452" s="37"/>
      <c r="D452" s="37"/>
      <c r="E452" s="37"/>
      <c r="F452" s="37"/>
      <c r="G452" s="37"/>
      <c r="H452" s="37"/>
      <c r="I452" s="37"/>
      <c r="J452" s="37"/>
      <c r="K452" s="37"/>
      <c r="L452" s="37"/>
      <c r="M452" s="37"/>
      <c r="N452" s="37"/>
      <c r="O452" s="37"/>
      <c r="P452" s="37"/>
      <c r="Q452" s="37"/>
      <c r="R452" s="37"/>
      <c r="S452" s="37"/>
      <c r="T452" s="37"/>
      <c r="U452" s="37"/>
      <c r="V452" s="37"/>
      <c r="W452" s="37"/>
      <c r="X452" s="37"/>
      <c r="Y452" s="37"/>
      <c r="Z452" s="37"/>
      <c r="AA452" s="37"/>
      <c r="AB452" s="37"/>
      <c r="AC452" s="37"/>
      <c r="AD452" s="37"/>
      <c r="AE452" s="37"/>
    </row>
    <row r="453" spans="1:31" x14ac:dyDescent="0.25">
      <c r="A453" s="37"/>
      <c r="B453" s="37"/>
      <c r="C453" s="37"/>
      <c r="D453" s="37"/>
      <c r="E453" s="37"/>
      <c r="F453" s="37"/>
      <c r="G453" s="37"/>
      <c r="H453" s="37"/>
      <c r="I453" s="37"/>
      <c r="J453" s="37"/>
      <c r="K453" s="37"/>
      <c r="L453" s="37"/>
      <c r="M453" s="37"/>
      <c r="N453" s="37"/>
      <c r="O453" s="37"/>
      <c r="P453" s="37"/>
      <c r="Q453" s="37"/>
      <c r="R453" s="37"/>
      <c r="S453" s="37"/>
      <c r="T453" s="37"/>
      <c r="U453" s="37"/>
      <c r="V453" s="37"/>
      <c r="W453" s="37"/>
      <c r="X453" s="37"/>
      <c r="Y453" s="37"/>
      <c r="Z453" s="37"/>
      <c r="AA453" s="37"/>
      <c r="AB453" s="37"/>
      <c r="AC453" s="37"/>
      <c r="AD453" s="37"/>
      <c r="AE453" s="37"/>
    </row>
    <row r="454" spans="1:31" x14ac:dyDescent="0.25">
      <c r="A454" s="37"/>
      <c r="B454" s="37"/>
      <c r="C454" s="37"/>
      <c r="D454" s="37"/>
      <c r="E454" s="37"/>
      <c r="F454" s="37"/>
      <c r="G454" s="37"/>
      <c r="H454" s="37"/>
      <c r="I454" s="37"/>
      <c r="J454" s="37"/>
      <c r="K454" s="37"/>
      <c r="L454" s="37"/>
      <c r="M454" s="37"/>
      <c r="N454" s="37"/>
      <c r="O454" s="37"/>
      <c r="P454" s="37"/>
      <c r="Q454" s="37"/>
      <c r="R454" s="37"/>
      <c r="S454" s="37"/>
      <c r="T454" s="37"/>
      <c r="U454" s="37"/>
      <c r="V454" s="37"/>
      <c r="W454" s="37"/>
      <c r="X454" s="37"/>
      <c r="Y454" s="37"/>
      <c r="Z454" s="37"/>
      <c r="AA454" s="37"/>
      <c r="AB454" s="37"/>
      <c r="AC454" s="37"/>
      <c r="AD454" s="37"/>
      <c r="AE454" s="37"/>
    </row>
    <row r="455" spans="1:31" x14ac:dyDescent="0.25">
      <c r="A455" s="37"/>
      <c r="B455" s="37"/>
      <c r="C455" s="37"/>
      <c r="D455" s="37"/>
      <c r="E455" s="37"/>
      <c r="F455" s="37"/>
      <c r="G455" s="37"/>
      <c r="H455" s="37"/>
      <c r="I455" s="37"/>
      <c r="J455" s="37"/>
      <c r="K455" s="37"/>
      <c r="L455" s="37"/>
      <c r="M455" s="37"/>
      <c r="N455" s="37"/>
      <c r="O455" s="37"/>
      <c r="P455" s="37"/>
      <c r="Q455" s="37"/>
      <c r="R455" s="37"/>
      <c r="S455" s="37"/>
      <c r="T455" s="37"/>
      <c r="U455" s="37"/>
      <c r="V455" s="37"/>
      <c r="W455" s="37"/>
      <c r="X455" s="37"/>
      <c r="Y455" s="37"/>
      <c r="Z455" s="37"/>
      <c r="AA455" s="37"/>
      <c r="AB455" s="37"/>
      <c r="AC455" s="37"/>
      <c r="AD455" s="37"/>
      <c r="AE455" s="37"/>
    </row>
    <row r="456" spans="1:31" x14ac:dyDescent="0.25">
      <c r="A456" s="37"/>
      <c r="B456" s="37"/>
      <c r="C456" s="37"/>
      <c r="D456" s="37"/>
      <c r="E456" s="37"/>
      <c r="F456" s="37"/>
      <c r="G456" s="37"/>
      <c r="H456" s="37"/>
      <c r="I456" s="37"/>
      <c r="J456" s="37"/>
      <c r="K456" s="37"/>
      <c r="L456" s="37"/>
      <c r="M456" s="37"/>
      <c r="N456" s="37"/>
      <c r="O456" s="37"/>
      <c r="P456" s="37"/>
      <c r="Q456" s="37"/>
      <c r="R456" s="37"/>
      <c r="S456" s="37"/>
      <c r="T456" s="37"/>
      <c r="U456" s="37"/>
      <c r="V456" s="37"/>
      <c r="W456" s="37"/>
      <c r="X456" s="37"/>
      <c r="Y456" s="37"/>
      <c r="Z456" s="37"/>
      <c r="AA456" s="37"/>
      <c r="AB456" s="37"/>
      <c r="AC456" s="37"/>
      <c r="AD456" s="37"/>
      <c r="AE456" s="37"/>
    </row>
    <row r="457" spans="1:31" x14ac:dyDescent="0.25">
      <c r="A457" s="37"/>
      <c r="B457" s="37"/>
      <c r="C457" s="37"/>
      <c r="D457" s="37"/>
      <c r="E457" s="37"/>
      <c r="F457" s="37"/>
      <c r="G457" s="37"/>
      <c r="H457" s="37"/>
      <c r="I457" s="37"/>
      <c r="J457" s="37"/>
      <c r="K457" s="37"/>
      <c r="L457" s="37"/>
      <c r="M457" s="37"/>
      <c r="N457" s="37"/>
      <c r="O457" s="37"/>
      <c r="P457" s="37"/>
      <c r="Q457" s="37"/>
      <c r="R457" s="37"/>
      <c r="S457" s="37"/>
      <c r="T457" s="37"/>
      <c r="U457" s="37"/>
      <c r="V457" s="37"/>
      <c r="W457" s="37"/>
      <c r="X457" s="37"/>
      <c r="Y457" s="37"/>
      <c r="Z457" s="37"/>
      <c r="AA457" s="37"/>
      <c r="AB457" s="37"/>
      <c r="AC457" s="37"/>
      <c r="AD457" s="37"/>
      <c r="AE457" s="37"/>
    </row>
    <row r="458" spans="1:31" x14ac:dyDescent="0.25">
      <c r="A458" s="37"/>
      <c r="B458" s="37"/>
      <c r="C458" s="37"/>
      <c r="D458" s="37"/>
      <c r="E458" s="37"/>
      <c r="F458" s="37"/>
      <c r="G458" s="37"/>
      <c r="H458" s="37"/>
      <c r="I458" s="37"/>
      <c r="J458" s="37"/>
      <c r="K458" s="37"/>
      <c r="L458" s="37"/>
      <c r="M458" s="37"/>
      <c r="N458" s="37"/>
      <c r="O458" s="37"/>
      <c r="P458" s="37"/>
      <c r="Q458" s="37"/>
      <c r="R458" s="37"/>
      <c r="S458" s="37"/>
      <c r="T458" s="37"/>
      <c r="U458" s="37"/>
      <c r="V458" s="37"/>
      <c r="W458" s="37"/>
      <c r="X458" s="37"/>
      <c r="Y458" s="37"/>
      <c r="Z458" s="37"/>
      <c r="AA458" s="37"/>
      <c r="AB458" s="37"/>
      <c r="AC458" s="37"/>
      <c r="AD458" s="37"/>
      <c r="AE458" s="37"/>
    </row>
    <row r="459" spans="1:31" x14ac:dyDescent="0.25">
      <c r="A459" s="37"/>
      <c r="B459" s="37"/>
      <c r="C459" s="37"/>
      <c r="D459" s="37"/>
      <c r="E459" s="37"/>
      <c r="F459" s="37"/>
      <c r="G459" s="37"/>
      <c r="H459" s="37"/>
      <c r="I459" s="37"/>
      <c r="J459" s="37"/>
      <c r="K459" s="37"/>
      <c r="L459" s="37"/>
      <c r="M459" s="37"/>
      <c r="N459" s="37"/>
      <c r="O459" s="37"/>
      <c r="P459" s="37"/>
      <c r="Q459" s="37"/>
      <c r="R459" s="37"/>
      <c r="S459" s="37"/>
      <c r="T459" s="37"/>
      <c r="U459" s="37"/>
      <c r="V459" s="37"/>
      <c r="W459" s="37"/>
      <c r="X459" s="37"/>
      <c r="Y459" s="37"/>
      <c r="Z459" s="37"/>
      <c r="AA459" s="37"/>
      <c r="AB459" s="37"/>
      <c r="AC459" s="37"/>
      <c r="AD459" s="37"/>
      <c r="AE459" s="37"/>
    </row>
    <row r="460" spans="1:31" x14ac:dyDescent="0.25">
      <c r="A460" s="37"/>
      <c r="B460" s="37"/>
      <c r="C460" s="37"/>
      <c r="D460" s="37"/>
      <c r="E460" s="37"/>
      <c r="F460" s="37"/>
      <c r="G460" s="37"/>
      <c r="H460" s="37"/>
      <c r="I460" s="37"/>
      <c r="J460" s="37"/>
      <c r="K460" s="37"/>
      <c r="L460" s="37"/>
      <c r="M460" s="37"/>
      <c r="N460" s="37"/>
      <c r="O460" s="37"/>
      <c r="P460" s="37"/>
      <c r="Q460" s="37"/>
      <c r="R460" s="37"/>
      <c r="S460" s="37"/>
      <c r="T460" s="37"/>
      <c r="U460" s="37"/>
      <c r="V460" s="37"/>
      <c r="W460" s="37"/>
      <c r="X460" s="37"/>
      <c r="Y460" s="37"/>
      <c r="Z460" s="37"/>
      <c r="AA460" s="37"/>
      <c r="AB460" s="37"/>
      <c r="AC460" s="37"/>
      <c r="AD460" s="37"/>
      <c r="AE460" s="37"/>
    </row>
    <row r="461" spans="1:31" x14ac:dyDescent="0.25">
      <c r="A461" s="37"/>
      <c r="B461" s="37"/>
      <c r="C461" s="37"/>
      <c r="D461" s="37"/>
      <c r="E461" s="37"/>
      <c r="F461" s="37"/>
      <c r="G461" s="37"/>
      <c r="H461" s="37"/>
      <c r="I461" s="37"/>
      <c r="J461" s="37"/>
      <c r="K461" s="37"/>
      <c r="L461" s="37"/>
      <c r="M461" s="37"/>
      <c r="N461" s="37"/>
      <c r="O461" s="37"/>
      <c r="P461" s="37"/>
      <c r="Q461" s="37"/>
      <c r="R461" s="37"/>
      <c r="S461" s="37"/>
      <c r="T461" s="37"/>
      <c r="U461" s="37"/>
      <c r="V461" s="37"/>
      <c r="W461" s="37"/>
      <c r="X461" s="37"/>
      <c r="Y461" s="37"/>
      <c r="Z461" s="37"/>
      <c r="AA461" s="37"/>
      <c r="AB461" s="37"/>
      <c r="AC461" s="37"/>
      <c r="AD461" s="37"/>
      <c r="AE461" s="37"/>
    </row>
    <row r="462" spans="1:31" x14ac:dyDescent="0.25">
      <c r="A462" s="37"/>
      <c r="B462" s="37"/>
      <c r="C462" s="37"/>
      <c r="D462" s="37"/>
      <c r="E462" s="37"/>
      <c r="F462" s="37"/>
      <c r="G462" s="37"/>
      <c r="H462" s="37"/>
      <c r="I462" s="37"/>
      <c r="J462" s="37"/>
      <c r="K462" s="37"/>
      <c r="L462" s="37"/>
      <c r="M462" s="37"/>
      <c r="N462" s="37"/>
      <c r="O462" s="37"/>
      <c r="P462" s="37"/>
      <c r="Q462" s="37"/>
      <c r="R462" s="37"/>
      <c r="S462" s="37"/>
      <c r="T462" s="37"/>
      <c r="U462" s="37"/>
      <c r="V462" s="37"/>
      <c r="W462" s="37"/>
      <c r="X462" s="37"/>
      <c r="Y462" s="37"/>
      <c r="Z462" s="37"/>
      <c r="AA462" s="37"/>
      <c r="AB462" s="37"/>
      <c r="AC462" s="37"/>
      <c r="AD462" s="37"/>
      <c r="AE462" s="37"/>
    </row>
    <row r="463" spans="1:31" x14ac:dyDescent="0.25">
      <c r="A463" s="37"/>
      <c r="B463" s="37"/>
      <c r="C463" s="37"/>
      <c r="D463" s="37"/>
      <c r="E463" s="37"/>
      <c r="F463" s="37"/>
      <c r="G463" s="37"/>
      <c r="H463" s="37"/>
      <c r="I463" s="37"/>
      <c r="J463" s="37"/>
      <c r="K463" s="37"/>
      <c r="L463" s="37"/>
      <c r="M463" s="37"/>
      <c r="N463" s="37"/>
      <c r="O463" s="37"/>
      <c r="P463" s="37"/>
      <c r="Q463" s="37"/>
      <c r="R463" s="37"/>
      <c r="S463" s="37"/>
      <c r="T463" s="37"/>
      <c r="U463" s="37"/>
      <c r="V463" s="37"/>
      <c r="W463" s="37"/>
      <c r="X463" s="37"/>
      <c r="Y463" s="37"/>
      <c r="Z463" s="37"/>
      <c r="AA463" s="37"/>
      <c r="AB463" s="37"/>
      <c r="AC463" s="37"/>
      <c r="AD463" s="37"/>
      <c r="AE463" s="37"/>
    </row>
    <row r="464" spans="1:31" x14ac:dyDescent="0.25">
      <c r="A464" s="37"/>
      <c r="B464" s="37"/>
      <c r="C464" s="37"/>
      <c r="D464" s="37"/>
      <c r="E464" s="37"/>
      <c r="F464" s="37"/>
      <c r="G464" s="37"/>
      <c r="H464" s="37"/>
      <c r="I464" s="37"/>
      <c r="J464" s="37"/>
      <c r="K464" s="37"/>
      <c r="L464" s="37"/>
      <c r="M464" s="37"/>
      <c r="N464" s="37"/>
      <c r="O464" s="37"/>
      <c r="P464" s="37"/>
      <c r="Q464" s="37"/>
      <c r="R464" s="37"/>
      <c r="S464" s="37"/>
      <c r="T464" s="37"/>
      <c r="U464" s="37"/>
      <c r="V464" s="37"/>
      <c r="W464" s="37"/>
      <c r="X464" s="37"/>
      <c r="Y464" s="37"/>
      <c r="Z464" s="37"/>
      <c r="AA464" s="37"/>
      <c r="AB464" s="37"/>
      <c r="AC464" s="37"/>
      <c r="AD464" s="37"/>
      <c r="AE464" s="37"/>
    </row>
    <row r="465" spans="1:31" x14ac:dyDescent="0.25">
      <c r="A465" s="37"/>
      <c r="B465" s="37"/>
      <c r="C465" s="37"/>
      <c r="D465" s="37"/>
      <c r="E465" s="37"/>
      <c r="F465" s="37"/>
      <c r="G465" s="37"/>
      <c r="H465" s="37"/>
      <c r="I465" s="37"/>
      <c r="J465" s="37"/>
      <c r="K465" s="37"/>
      <c r="L465" s="37"/>
      <c r="M465" s="37"/>
      <c r="N465" s="37"/>
      <c r="O465" s="37"/>
      <c r="P465" s="37"/>
      <c r="Q465" s="37"/>
      <c r="R465" s="37"/>
      <c r="S465" s="37"/>
      <c r="T465" s="37"/>
      <c r="U465" s="37"/>
      <c r="V465" s="37"/>
      <c r="W465" s="37"/>
      <c r="X465" s="37"/>
      <c r="Y465" s="37"/>
      <c r="Z465" s="37"/>
      <c r="AA465" s="37"/>
      <c r="AB465" s="37"/>
      <c r="AC465" s="37"/>
      <c r="AD465" s="37"/>
      <c r="AE465" s="37"/>
    </row>
    <row r="466" spans="1:31" x14ac:dyDescent="0.25">
      <c r="A466" s="37"/>
      <c r="B466" s="37"/>
      <c r="C466" s="37"/>
      <c r="D466" s="37"/>
      <c r="E466" s="37"/>
      <c r="F466" s="37"/>
      <c r="G466" s="37"/>
      <c r="H466" s="37"/>
      <c r="I466" s="37"/>
      <c r="J466" s="37"/>
      <c r="K466" s="37"/>
      <c r="L466" s="37"/>
      <c r="M466" s="37"/>
      <c r="N466" s="37"/>
      <c r="O466" s="37"/>
      <c r="P466" s="37"/>
      <c r="Q466" s="37"/>
      <c r="R466" s="37"/>
      <c r="S466" s="37"/>
      <c r="T466" s="37"/>
      <c r="U466" s="37"/>
      <c r="V466" s="37"/>
      <c r="W466" s="37"/>
      <c r="X466" s="37"/>
      <c r="Y466" s="37"/>
      <c r="Z466" s="37"/>
      <c r="AA466" s="37"/>
      <c r="AB466" s="37"/>
      <c r="AC466" s="37"/>
      <c r="AD466" s="37"/>
      <c r="AE466" s="37"/>
    </row>
    <row r="467" spans="1:31" x14ac:dyDescent="0.25">
      <c r="A467" s="37"/>
      <c r="B467" s="37"/>
      <c r="C467" s="37"/>
      <c r="D467" s="37"/>
      <c r="E467" s="37"/>
      <c r="F467" s="37"/>
      <c r="G467" s="37"/>
      <c r="H467" s="37"/>
      <c r="I467" s="37"/>
      <c r="J467" s="37"/>
      <c r="K467" s="37"/>
      <c r="L467" s="37"/>
      <c r="M467" s="37"/>
      <c r="N467" s="37"/>
      <c r="O467" s="37"/>
      <c r="P467" s="37"/>
      <c r="Q467" s="37"/>
      <c r="R467" s="37"/>
      <c r="S467" s="37"/>
      <c r="T467" s="37"/>
      <c r="U467" s="37"/>
      <c r="V467" s="37"/>
      <c r="W467" s="37"/>
      <c r="X467" s="37"/>
      <c r="Y467" s="37"/>
      <c r="Z467" s="37"/>
      <c r="AA467" s="37"/>
      <c r="AB467" s="37"/>
      <c r="AC467" s="37"/>
      <c r="AD467" s="37"/>
      <c r="AE467" s="37"/>
    </row>
    <row r="468" spans="1:31" x14ac:dyDescent="0.25">
      <c r="A468" s="37"/>
      <c r="B468" s="37"/>
      <c r="C468" s="37"/>
      <c r="D468" s="37"/>
      <c r="E468" s="37"/>
      <c r="F468" s="37"/>
      <c r="G468" s="37"/>
      <c r="H468" s="37"/>
      <c r="I468" s="37"/>
      <c r="J468" s="37"/>
      <c r="K468" s="37"/>
      <c r="L468" s="37"/>
      <c r="M468" s="37"/>
      <c r="N468" s="37"/>
      <c r="O468" s="37"/>
      <c r="P468" s="37"/>
      <c r="Q468" s="37"/>
      <c r="R468" s="37"/>
      <c r="S468" s="37"/>
      <c r="T468" s="37"/>
      <c r="U468" s="37"/>
      <c r="V468" s="37"/>
      <c r="W468" s="37"/>
      <c r="X468" s="37"/>
      <c r="Y468" s="37"/>
      <c r="Z468" s="37"/>
      <c r="AA468" s="37"/>
      <c r="AB468" s="37"/>
      <c r="AC468" s="37"/>
      <c r="AD468" s="37"/>
      <c r="AE468" s="37"/>
    </row>
    <row r="469" spans="1:31" x14ac:dyDescent="0.25">
      <c r="A469" s="37"/>
      <c r="B469" s="37"/>
      <c r="C469" s="37"/>
      <c r="D469" s="37"/>
      <c r="E469" s="37"/>
      <c r="F469" s="37"/>
      <c r="G469" s="37"/>
      <c r="H469" s="37"/>
      <c r="I469" s="37"/>
      <c r="J469" s="37"/>
      <c r="K469" s="37"/>
      <c r="L469" s="37"/>
      <c r="M469" s="37"/>
      <c r="N469" s="37"/>
      <c r="O469" s="37"/>
      <c r="P469" s="37"/>
      <c r="Q469" s="37"/>
      <c r="R469" s="37"/>
      <c r="S469" s="37"/>
      <c r="T469" s="37"/>
      <c r="U469" s="37"/>
      <c r="V469" s="37"/>
      <c r="W469" s="37"/>
      <c r="X469" s="37"/>
      <c r="Y469" s="37"/>
      <c r="Z469" s="37"/>
      <c r="AA469" s="37"/>
      <c r="AB469" s="37"/>
      <c r="AC469" s="37"/>
      <c r="AD469" s="37"/>
      <c r="AE469" s="37"/>
    </row>
    <row r="470" spans="1:31" x14ac:dyDescent="0.25">
      <c r="A470" s="37"/>
      <c r="B470" s="37"/>
      <c r="C470" s="37"/>
      <c r="D470" s="37"/>
      <c r="E470" s="37"/>
      <c r="F470" s="37"/>
      <c r="G470" s="37"/>
      <c r="H470" s="37"/>
      <c r="I470" s="37"/>
      <c r="J470" s="37"/>
      <c r="K470" s="37"/>
      <c r="L470" s="37"/>
      <c r="M470" s="37"/>
      <c r="N470" s="37"/>
      <c r="O470" s="37"/>
      <c r="P470" s="37"/>
      <c r="Q470" s="37"/>
      <c r="R470" s="37"/>
      <c r="S470" s="37"/>
      <c r="T470" s="37"/>
      <c r="U470" s="37"/>
      <c r="V470" s="37"/>
      <c r="W470" s="37"/>
      <c r="X470" s="37"/>
      <c r="Y470" s="37"/>
      <c r="Z470" s="37"/>
      <c r="AA470" s="37"/>
      <c r="AB470" s="37"/>
      <c r="AC470" s="37"/>
      <c r="AD470" s="37"/>
      <c r="AE470" s="37"/>
    </row>
    <row r="471" spans="1:31" x14ac:dyDescent="0.25">
      <c r="A471" s="37"/>
      <c r="B471" s="37"/>
      <c r="C471" s="37"/>
      <c r="D471" s="37"/>
      <c r="E471" s="37"/>
      <c r="F471" s="37"/>
      <c r="G471" s="37"/>
      <c r="H471" s="37"/>
      <c r="I471" s="37"/>
      <c r="J471" s="37"/>
      <c r="K471" s="37"/>
      <c r="L471" s="37"/>
      <c r="M471" s="37"/>
      <c r="N471" s="37"/>
      <c r="O471" s="37"/>
      <c r="P471" s="37"/>
      <c r="Q471" s="37"/>
      <c r="R471" s="37"/>
      <c r="S471" s="37"/>
      <c r="T471" s="37"/>
      <c r="U471" s="37"/>
      <c r="V471" s="37"/>
      <c r="W471" s="37"/>
      <c r="X471" s="37"/>
      <c r="Y471" s="37"/>
      <c r="Z471" s="37"/>
      <c r="AA471" s="37"/>
      <c r="AB471" s="37"/>
      <c r="AC471" s="37"/>
      <c r="AD471" s="37"/>
      <c r="AE471" s="37"/>
    </row>
    <row r="472" spans="1:31" x14ac:dyDescent="0.25">
      <c r="A472" s="37"/>
      <c r="B472" s="37"/>
      <c r="C472" s="37"/>
      <c r="D472" s="37"/>
      <c r="E472" s="37"/>
      <c r="F472" s="37"/>
      <c r="G472" s="37"/>
      <c r="H472" s="37"/>
      <c r="I472" s="37"/>
      <c r="J472" s="37"/>
      <c r="K472" s="37"/>
      <c r="L472" s="37"/>
      <c r="M472" s="37"/>
      <c r="N472" s="37"/>
      <c r="O472" s="37"/>
      <c r="P472" s="37"/>
      <c r="Q472" s="37"/>
      <c r="R472" s="37"/>
      <c r="S472" s="37"/>
      <c r="T472" s="37"/>
      <c r="U472" s="37"/>
      <c r="V472" s="37"/>
      <c r="W472" s="37"/>
      <c r="X472" s="37"/>
      <c r="Y472" s="37"/>
      <c r="Z472" s="37"/>
      <c r="AA472" s="37"/>
      <c r="AB472" s="37"/>
      <c r="AC472" s="37"/>
      <c r="AD472" s="37"/>
      <c r="AE472" s="37"/>
    </row>
    <row r="473" spans="1:31" x14ac:dyDescent="0.25">
      <c r="A473" s="37"/>
      <c r="B473" s="37"/>
      <c r="C473" s="37"/>
      <c r="D473" s="37"/>
      <c r="E473" s="37"/>
      <c r="F473" s="37"/>
      <c r="G473" s="37"/>
      <c r="H473" s="37"/>
      <c r="I473" s="37"/>
      <c r="J473" s="37"/>
      <c r="K473" s="37"/>
      <c r="L473" s="37"/>
      <c r="M473" s="37"/>
      <c r="N473" s="37"/>
      <c r="O473" s="37"/>
      <c r="P473" s="37"/>
      <c r="Q473" s="37"/>
      <c r="R473" s="37"/>
      <c r="S473" s="37"/>
      <c r="T473" s="37"/>
      <c r="U473" s="37"/>
      <c r="V473" s="37"/>
      <c r="W473" s="37"/>
      <c r="X473" s="37"/>
      <c r="Y473" s="37"/>
      <c r="Z473" s="37"/>
      <c r="AA473" s="37"/>
      <c r="AB473" s="37"/>
      <c r="AC473" s="37"/>
      <c r="AD473" s="37"/>
      <c r="AE473" s="37"/>
    </row>
    <row r="474" spans="1:31" x14ac:dyDescent="0.25">
      <c r="A474" s="37"/>
      <c r="B474" s="37"/>
      <c r="C474" s="37"/>
      <c r="D474" s="37"/>
      <c r="E474" s="37"/>
      <c r="F474" s="37"/>
      <c r="G474" s="37"/>
      <c r="H474" s="37"/>
      <c r="I474" s="37"/>
      <c r="J474" s="37"/>
      <c r="K474" s="37"/>
      <c r="L474" s="37"/>
      <c r="M474" s="37"/>
      <c r="N474" s="37"/>
      <c r="O474" s="37"/>
      <c r="P474" s="37"/>
      <c r="Q474" s="37"/>
      <c r="R474" s="37"/>
      <c r="S474" s="37"/>
      <c r="T474" s="37"/>
      <c r="U474" s="37"/>
      <c r="V474" s="37"/>
      <c r="W474" s="37"/>
      <c r="X474" s="37"/>
      <c r="Y474" s="37"/>
      <c r="Z474" s="37"/>
      <c r="AA474" s="37"/>
      <c r="AB474" s="37"/>
      <c r="AC474" s="37"/>
      <c r="AD474" s="37"/>
      <c r="AE474" s="37"/>
    </row>
    <row r="475" spans="1:31" x14ac:dyDescent="0.25">
      <c r="A475" s="37"/>
      <c r="B475" s="37"/>
      <c r="C475" s="37"/>
      <c r="D475" s="37"/>
      <c r="E475" s="37"/>
      <c r="F475" s="37"/>
      <c r="G475" s="37"/>
      <c r="H475" s="37"/>
      <c r="I475" s="37"/>
      <c r="J475" s="37"/>
      <c r="K475" s="37"/>
      <c r="L475" s="37"/>
      <c r="M475" s="37"/>
      <c r="N475" s="37"/>
      <c r="O475" s="37"/>
      <c r="P475" s="37"/>
      <c r="Q475" s="37"/>
      <c r="R475" s="37"/>
      <c r="S475" s="37"/>
      <c r="T475" s="37"/>
      <c r="U475" s="37"/>
      <c r="V475" s="37"/>
      <c r="W475" s="37"/>
      <c r="X475" s="37"/>
      <c r="Y475" s="37"/>
      <c r="Z475" s="37"/>
      <c r="AA475" s="37"/>
      <c r="AB475" s="37"/>
      <c r="AC475" s="37"/>
      <c r="AD475" s="37"/>
      <c r="AE475" s="37"/>
    </row>
    <row r="476" spans="1:31" x14ac:dyDescent="0.25">
      <c r="A476" s="37"/>
      <c r="B476" s="37"/>
      <c r="C476" s="37"/>
      <c r="D476" s="37"/>
      <c r="E476" s="37"/>
      <c r="F476" s="37"/>
      <c r="G476" s="37"/>
      <c r="H476" s="37"/>
      <c r="I476" s="37"/>
      <c r="J476" s="37"/>
      <c r="K476" s="37"/>
      <c r="L476" s="37"/>
      <c r="M476" s="37"/>
      <c r="N476" s="37"/>
      <c r="O476" s="37"/>
      <c r="P476" s="37"/>
      <c r="Q476" s="37"/>
      <c r="R476" s="37"/>
      <c r="S476" s="37"/>
      <c r="T476" s="37"/>
      <c r="U476" s="37"/>
      <c r="V476" s="37"/>
      <c r="W476" s="37"/>
      <c r="X476" s="37"/>
      <c r="Y476" s="37"/>
      <c r="Z476" s="37"/>
      <c r="AA476" s="37"/>
      <c r="AB476" s="37"/>
      <c r="AC476" s="37"/>
      <c r="AD476" s="37"/>
      <c r="AE476" s="37"/>
    </row>
    <row r="477" spans="1:31" x14ac:dyDescent="0.25">
      <c r="A477" s="37"/>
      <c r="B477" s="37"/>
      <c r="C477" s="37"/>
      <c r="D477" s="37"/>
      <c r="E477" s="37"/>
      <c r="F477" s="37"/>
      <c r="G477" s="37"/>
      <c r="H477" s="37"/>
      <c r="I477" s="37"/>
      <c r="J477" s="37"/>
      <c r="K477" s="37"/>
      <c r="L477" s="37"/>
      <c r="M477" s="37"/>
      <c r="N477" s="37"/>
      <c r="O477" s="37"/>
      <c r="P477" s="37"/>
      <c r="Q477" s="37"/>
      <c r="R477" s="37"/>
      <c r="S477" s="37"/>
      <c r="T477" s="37"/>
      <c r="U477" s="37"/>
      <c r="V477" s="37"/>
      <c r="W477" s="37"/>
      <c r="X477" s="37"/>
      <c r="Y477" s="37"/>
      <c r="Z477" s="37"/>
      <c r="AA477" s="37"/>
      <c r="AB477" s="37"/>
      <c r="AC477" s="37"/>
      <c r="AD477" s="37"/>
      <c r="AE477" s="37"/>
    </row>
    <row r="478" spans="1:31" x14ac:dyDescent="0.25">
      <c r="A478" s="37"/>
      <c r="B478" s="37"/>
      <c r="C478" s="37"/>
      <c r="D478" s="37"/>
      <c r="E478" s="37"/>
      <c r="F478" s="37"/>
      <c r="G478" s="37"/>
      <c r="H478" s="37"/>
      <c r="I478" s="37"/>
      <c r="J478" s="37"/>
      <c r="K478" s="37"/>
      <c r="L478" s="37"/>
      <c r="M478" s="37"/>
      <c r="N478" s="37"/>
      <c r="O478" s="37"/>
      <c r="P478" s="37"/>
      <c r="Q478" s="37"/>
      <c r="R478" s="37"/>
      <c r="S478" s="37"/>
      <c r="T478" s="37"/>
      <c r="U478" s="37"/>
      <c r="V478" s="37"/>
      <c r="W478" s="37"/>
      <c r="X478" s="37"/>
      <c r="Y478" s="37"/>
      <c r="Z478" s="37"/>
      <c r="AA478" s="37"/>
      <c r="AB478" s="37"/>
      <c r="AC478" s="37"/>
      <c r="AD478" s="37"/>
      <c r="AE478" s="37"/>
    </row>
    <row r="479" spans="1:31" x14ac:dyDescent="0.25">
      <c r="A479" s="37"/>
      <c r="B479" s="37"/>
      <c r="C479" s="37"/>
      <c r="D479" s="37"/>
      <c r="E479" s="37"/>
      <c r="F479" s="37"/>
      <c r="G479" s="37"/>
      <c r="H479" s="37"/>
      <c r="I479" s="37"/>
      <c r="J479" s="37"/>
      <c r="K479" s="37"/>
      <c r="L479" s="37"/>
      <c r="M479" s="37"/>
      <c r="N479" s="37"/>
      <c r="O479" s="37"/>
      <c r="P479" s="37"/>
      <c r="Q479" s="37"/>
      <c r="R479" s="37"/>
      <c r="S479" s="37"/>
      <c r="T479" s="37"/>
      <c r="U479" s="37"/>
      <c r="V479" s="37"/>
      <c r="W479" s="37"/>
      <c r="X479" s="37"/>
      <c r="Y479" s="37"/>
      <c r="Z479" s="37"/>
      <c r="AA479" s="37"/>
      <c r="AB479" s="37"/>
      <c r="AC479" s="37"/>
      <c r="AD479" s="37"/>
      <c r="AE479" s="37"/>
    </row>
    <row r="480" spans="1:31" x14ac:dyDescent="0.25">
      <c r="A480" s="37"/>
      <c r="B480" s="37"/>
      <c r="C480" s="37"/>
      <c r="D480" s="37"/>
      <c r="E480" s="37"/>
      <c r="F480" s="37"/>
      <c r="G480" s="37"/>
      <c r="H480" s="37"/>
      <c r="I480" s="37"/>
      <c r="J480" s="37"/>
      <c r="K480" s="37"/>
      <c r="L480" s="37"/>
      <c r="M480" s="37"/>
      <c r="N480" s="37"/>
      <c r="O480" s="37"/>
      <c r="P480" s="37"/>
      <c r="Q480" s="37"/>
      <c r="R480" s="37"/>
      <c r="S480" s="37"/>
      <c r="T480" s="37"/>
      <c r="U480" s="37"/>
      <c r="V480" s="37"/>
      <c r="W480" s="37"/>
      <c r="X480" s="37"/>
      <c r="Y480" s="37"/>
      <c r="Z480" s="37"/>
      <c r="AA480" s="37"/>
      <c r="AB480" s="37"/>
      <c r="AC480" s="37"/>
      <c r="AD480" s="37"/>
      <c r="AE480" s="37"/>
    </row>
    <row r="481" spans="1:31" x14ac:dyDescent="0.25">
      <c r="A481" s="37"/>
      <c r="B481" s="37"/>
      <c r="C481" s="37"/>
      <c r="D481" s="37"/>
      <c r="E481" s="37"/>
      <c r="F481" s="37"/>
      <c r="G481" s="37"/>
      <c r="H481" s="37"/>
      <c r="I481" s="37"/>
      <c r="J481" s="37"/>
      <c r="K481" s="37"/>
      <c r="L481" s="37"/>
      <c r="M481" s="37"/>
      <c r="N481" s="37"/>
      <c r="O481" s="37"/>
      <c r="P481" s="37"/>
      <c r="Q481" s="37"/>
      <c r="R481" s="37"/>
      <c r="S481" s="37"/>
      <c r="T481" s="37"/>
      <c r="U481" s="37"/>
      <c r="V481" s="37"/>
      <c r="W481" s="37"/>
      <c r="X481" s="37"/>
      <c r="Y481" s="37"/>
      <c r="Z481" s="37"/>
      <c r="AA481" s="37"/>
      <c r="AB481" s="37"/>
      <c r="AC481" s="37"/>
      <c r="AD481" s="37"/>
      <c r="AE481" s="37"/>
    </row>
    <row r="482" spans="1:31" x14ac:dyDescent="0.25">
      <c r="A482" s="37"/>
      <c r="B482" s="37"/>
      <c r="C482" s="37"/>
      <c r="D482" s="37"/>
      <c r="E482" s="37"/>
      <c r="F482" s="37"/>
      <c r="G482" s="37"/>
      <c r="H482" s="37"/>
      <c r="I482" s="37"/>
      <c r="J482" s="37"/>
      <c r="K482" s="37"/>
      <c r="L482" s="37"/>
      <c r="M482" s="37"/>
      <c r="N482" s="37"/>
      <c r="O482" s="37"/>
      <c r="P482" s="37"/>
      <c r="Q482" s="37"/>
      <c r="R482" s="37"/>
      <c r="S482" s="37"/>
      <c r="T482" s="37"/>
      <c r="U482" s="37"/>
      <c r="V482" s="37"/>
      <c r="W482" s="37"/>
      <c r="X482" s="37"/>
      <c r="Y482" s="37"/>
      <c r="Z482" s="37"/>
      <c r="AA482" s="37"/>
      <c r="AB482" s="37"/>
      <c r="AC482" s="37"/>
      <c r="AD482" s="37"/>
      <c r="AE482" s="37"/>
    </row>
    <row r="483" spans="1:31" x14ac:dyDescent="0.25">
      <c r="A483" s="37"/>
      <c r="B483" s="37"/>
      <c r="C483" s="37"/>
      <c r="D483" s="37"/>
      <c r="E483" s="37"/>
      <c r="F483" s="37"/>
      <c r="G483" s="37"/>
      <c r="H483" s="37"/>
      <c r="I483" s="37"/>
      <c r="J483" s="37"/>
      <c r="K483" s="37"/>
      <c r="L483" s="37"/>
      <c r="M483" s="37"/>
      <c r="N483" s="37"/>
      <c r="O483" s="37"/>
      <c r="P483" s="37"/>
      <c r="Q483" s="37"/>
      <c r="R483" s="37"/>
      <c r="S483" s="37"/>
      <c r="T483" s="37"/>
      <c r="U483" s="37"/>
      <c r="V483" s="37"/>
      <c r="W483" s="37"/>
      <c r="X483" s="37"/>
      <c r="Y483" s="37"/>
      <c r="Z483" s="37"/>
      <c r="AA483" s="37"/>
      <c r="AB483" s="37"/>
      <c r="AC483" s="37"/>
      <c r="AD483" s="37"/>
      <c r="AE483" s="37"/>
    </row>
    <row r="484" spans="1:31" x14ac:dyDescent="0.25">
      <c r="A484" s="37"/>
      <c r="B484" s="37"/>
      <c r="C484" s="37"/>
      <c r="D484" s="37"/>
      <c r="E484" s="37"/>
      <c r="F484" s="37"/>
      <c r="G484" s="37"/>
      <c r="H484" s="37"/>
      <c r="I484" s="37"/>
      <c r="J484" s="37"/>
      <c r="K484" s="37"/>
      <c r="L484" s="37"/>
      <c r="M484" s="37"/>
      <c r="N484" s="37"/>
      <c r="O484" s="37"/>
      <c r="P484" s="37"/>
      <c r="Q484" s="37"/>
      <c r="R484" s="37"/>
      <c r="S484" s="37"/>
      <c r="T484" s="37"/>
      <c r="U484" s="37"/>
      <c r="V484" s="37"/>
      <c r="W484" s="37"/>
      <c r="X484" s="37"/>
      <c r="Y484" s="37"/>
      <c r="Z484" s="37"/>
      <c r="AA484" s="37"/>
      <c r="AB484" s="37"/>
      <c r="AC484" s="37"/>
      <c r="AD484" s="37"/>
      <c r="AE484" s="37"/>
    </row>
    <row r="485" spans="1:31" x14ac:dyDescent="0.25">
      <c r="A485" s="37"/>
      <c r="B485" s="37"/>
      <c r="C485" s="37"/>
      <c r="D485" s="37"/>
      <c r="E485" s="37"/>
      <c r="F485" s="37"/>
      <c r="G485" s="37"/>
      <c r="H485" s="37"/>
      <c r="I485" s="37"/>
      <c r="J485" s="37"/>
      <c r="K485" s="37"/>
      <c r="L485" s="37"/>
      <c r="M485" s="37"/>
      <c r="N485" s="37"/>
      <c r="O485" s="37"/>
      <c r="P485" s="37"/>
      <c r="Q485" s="37"/>
      <c r="R485" s="37"/>
      <c r="S485" s="37"/>
      <c r="T485" s="37"/>
      <c r="U485" s="37"/>
      <c r="V485" s="37"/>
      <c r="W485" s="37"/>
      <c r="X485" s="37"/>
      <c r="Y485" s="37"/>
      <c r="Z485" s="37"/>
      <c r="AA485" s="37"/>
      <c r="AB485" s="37"/>
      <c r="AC485" s="37"/>
      <c r="AD485" s="37"/>
      <c r="AE485" s="37"/>
    </row>
    <row r="486" spans="1:31" x14ac:dyDescent="0.25">
      <c r="A486" s="37"/>
      <c r="B486" s="37"/>
      <c r="C486" s="37"/>
      <c r="D486" s="37"/>
      <c r="E486" s="37"/>
      <c r="F486" s="37"/>
      <c r="G486" s="37"/>
      <c r="H486" s="37"/>
      <c r="I486" s="37"/>
      <c r="J486" s="37"/>
      <c r="K486" s="37"/>
      <c r="L486" s="37"/>
      <c r="M486" s="37"/>
      <c r="N486" s="37"/>
      <c r="O486" s="37"/>
      <c r="P486" s="37"/>
      <c r="Q486" s="37"/>
      <c r="R486" s="37"/>
      <c r="S486" s="37"/>
      <c r="T486" s="37"/>
      <c r="U486" s="37"/>
      <c r="V486" s="37"/>
      <c r="W486" s="37"/>
      <c r="X486" s="37"/>
      <c r="Y486" s="37"/>
      <c r="Z486" s="37"/>
      <c r="AA486" s="37"/>
      <c r="AB486" s="37"/>
      <c r="AC486" s="37"/>
      <c r="AD486" s="37"/>
      <c r="AE486" s="37"/>
    </row>
    <row r="487" spans="1:31" x14ac:dyDescent="0.25">
      <c r="A487" s="37"/>
      <c r="B487" s="37"/>
      <c r="C487" s="37"/>
      <c r="D487" s="37"/>
      <c r="E487" s="37"/>
      <c r="F487" s="37"/>
      <c r="G487" s="37"/>
      <c r="H487" s="37"/>
      <c r="I487" s="37"/>
      <c r="J487" s="37"/>
      <c r="K487" s="37"/>
      <c r="L487" s="37"/>
      <c r="M487" s="37"/>
      <c r="N487" s="37"/>
      <c r="O487" s="37"/>
      <c r="P487" s="37"/>
      <c r="Q487" s="37"/>
      <c r="R487" s="37"/>
      <c r="S487" s="37"/>
      <c r="T487" s="37"/>
      <c r="U487" s="37"/>
      <c r="V487" s="37"/>
      <c r="W487" s="37"/>
      <c r="X487" s="37"/>
      <c r="Y487" s="37"/>
      <c r="Z487" s="37"/>
      <c r="AA487" s="37"/>
      <c r="AB487" s="37"/>
      <c r="AC487" s="37"/>
      <c r="AD487" s="37"/>
      <c r="AE487" s="37"/>
    </row>
    <row r="488" spans="1:31" x14ac:dyDescent="0.25">
      <c r="A488" s="37"/>
      <c r="B488" s="37"/>
      <c r="C488" s="37"/>
      <c r="D488" s="37"/>
      <c r="E488" s="37"/>
      <c r="F488" s="37"/>
      <c r="G488" s="37"/>
      <c r="H488" s="37"/>
      <c r="I488" s="37"/>
      <c r="J488" s="37"/>
      <c r="K488" s="37"/>
      <c r="L488" s="37"/>
      <c r="M488" s="37"/>
      <c r="N488" s="37"/>
      <c r="O488" s="37"/>
      <c r="P488" s="37"/>
      <c r="Q488" s="37"/>
      <c r="R488" s="37"/>
      <c r="S488" s="37"/>
      <c r="T488" s="37"/>
      <c r="U488" s="37"/>
      <c r="V488" s="37"/>
      <c r="W488" s="37"/>
      <c r="X488" s="37"/>
      <c r="Y488" s="37"/>
      <c r="Z488" s="37"/>
      <c r="AA488" s="37"/>
      <c r="AB488" s="37"/>
      <c r="AC488" s="37"/>
      <c r="AD488" s="37"/>
      <c r="AE488" s="37"/>
    </row>
    <row r="489" spans="1:31" x14ac:dyDescent="0.25">
      <c r="A489" s="37"/>
      <c r="B489" s="37"/>
      <c r="C489" s="37"/>
      <c r="D489" s="37"/>
      <c r="E489" s="37"/>
      <c r="F489" s="37"/>
      <c r="G489" s="37"/>
      <c r="H489" s="37"/>
      <c r="I489" s="37"/>
      <c r="J489" s="37"/>
      <c r="K489" s="37"/>
      <c r="L489" s="37"/>
      <c r="M489" s="37"/>
      <c r="N489" s="37"/>
      <c r="O489" s="37"/>
      <c r="P489" s="37"/>
      <c r="Q489" s="37"/>
      <c r="R489" s="37"/>
      <c r="S489" s="37"/>
      <c r="T489" s="37"/>
      <c r="U489" s="37"/>
      <c r="V489" s="37"/>
      <c r="W489" s="37"/>
      <c r="X489" s="37"/>
      <c r="Y489" s="37"/>
      <c r="Z489" s="37"/>
      <c r="AA489" s="37"/>
      <c r="AB489" s="37"/>
      <c r="AC489" s="37"/>
      <c r="AD489" s="37"/>
      <c r="AE489" s="37"/>
    </row>
    <row r="490" spans="1:31" x14ac:dyDescent="0.25">
      <c r="A490" s="37"/>
      <c r="B490" s="37"/>
      <c r="C490" s="37"/>
      <c r="D490" s="37"/>
      <c r="E490" s="37"/>
      <c r="F490" s="37"/>
      <c r="G490" s="37"/>
      <c r="H490" s="37"/>
      <c r="I490" s="37"/>
      <c r="J490" s="37"/>
      <c r="K490" s="37"/>
      <c r="L490" s="37"/>
      <c r="M490" s="37"/>
      <c r="N490" s="37"/>
      <c r="O490" s="37"/>
      <c r="P490" s="37"/>
      <c r="Q490" s="37"/>
      <c r="R490" s="37"/>
      <c r="S490" s="37"/>
      <c r="T490" s="37"/>
      <c r="U490" s="37"/>
      <c r="V490" s="37"/>
      <c r="W490" s="37"/>
      <c r="X490" s="37"/>
      <c r="Y490" s="37"/>
      <c r="Z490" s="37"/>
      <c r="AA490" s="37"/>
      <c r="AB490" s="37"/>
      <c r="AC490" s="37"/>
      <c r="AD490" s="37"/>
      <c r="AE490" s="37"/>
    </row>
    <row r="491" spans="1:31" x14ac:dyDescent="0.25">
      <c r="A491" s="37"/>
      <c r="B491" s="37"/>
      <c r="C491" s="37"/>
      <c r="D491" s="37"/>
      <c r="E491" s="37"/>
      <c r="F491" s="37"/>
      <c r="G491" s="37"/>
      <c r="H491" s="37"/>
      <c r="I491" s="37"/>
      <c r="J491" s="37"/>
      <c r="K491" s="37"/>
      <c r="L491" s="37"/>
      <c r="M491" s="37"/>
      <c r="N491" s="37"/>
      <c r="O491" s="37"/>
      <c r="P491" s="37"/>
      <c r="Q491" s="37"/>
      <c r="R491" s="37"/>
      <c r="S491" s="37"/>
      <c r="T491" s="37"/>
      <c r="U491" s="37"/>
      <c r="V491" s="37"/>
      <c r="W491" s="37"/>
      <c r="X491" s="37"/>
      <c r="Y491" s="37"/>
      <c r="Z491" s="37"/>
      <c r="AA491" s="37"/>
      <c r="AB491" s="37"/>
      <c r="AC491" s="37"/>
      <c r="AD491" s="37"/>
      <c r="AE491" s="37"/>
    </row>
    <row r="492" spans="1:31" x14ac:dyDescent="0.25">
      <c r="A492" s="37"/>
      <c r="B492" s="37"/>
      <c r="C492" s="37"/>
      <c r="D492" s="37"/>
      <c r="E492" s="37"/>
      <c r="F492" s="37"/>
      <c r="G492" s="37"/>
      <c r="H492" s="37"/>
      <c r="I492" s="37"/>
      <c r="J492" s="37"/>
      <c r="K492" s="37"/>
      <c r="L492" s="37"/>
      <c r="M492" s="37"/>
      <c r="N492" s="37"/>
      <c r="O492" s="37"/>
      <c r="P492" s="37"/>
      <c r="Q492" s="37"/>
      <c r="R492" s="37"/>
      <c r="S492" s="37"/>
      <c r="T492" s="37"/>
      <c r="U492" s="37"/>
      <c r="V492" s="37"/>
      <c r="W492" s="37"/>
      <c r="X492" s="37"/>
      <c r="Y492" s="37"/>
      <c r="Z492" s="37"/>
      <c r="AA492" s="37"/>
      <c r="AB492" s="37"/>
      <c r="AC492" s="37"/>
      <c r="AD492" s="37"/>
      <c r="AE492" s="37"/>
    </row>
    <row r="493" spans="1:31" x14ac:dyDescent="0.25">
      <c r="A493" s="37"/>
      <c r="B493" s="37"/>
      <c r="C493" s="37"/>
      <c r="D493" s="37"/>
      <c r="E493" s="37"/>
      <c r="F493" s="37"/>
      <c r="G493" s="37"/>
      <c r="H493" s="37"/>
      <c r="I493" s="37"/>
      <c r="J493" s="37"/>
      <c r="K493" s="37"/>
      <c r="L493" s="37"/>
      <c r="M493" s="37"/>
      <c r="N493" s="37"/>
      <c r="O493" s="37"/>
      <c r="P493" s="37"/>
      <c r="Q493" s="37"/>
      <c r="R493" s="37"/>
      <c r="S493" s="37"/>
      <c r="T493" s="37"/>
      <c r="U493" s="37"/>
      <c r="V493" s="37"/>
      <c r="W493" s="37"/>
      <c r="X493" s="37"/>
      <c r="Y493" s="37"/>
      <c r="Z493" s="37"/>
      <c r="AA493" s="37"/>
      <c r="AB493" s="37"/>
      <c r="AC493" s="37"/>
      <c r="AD493" s="37"/>
      <c r="AE493" s="37"/>
    </row>
    <row r="494" spans="1:31" x14ac:dyDescent="0.25">
      <c r="A494" s="37"/>
      <c r="B494" s="37"/>
      <c r="C494" s="37"/>
      <c r="D494" s="37"/>
      <c r="E494" s="37"/>
      <c r="F494" s="37"/>
      <c r="G494" s="37"/>
      <c r="H494" s="37"/>
      <c r="I494" s="37"/>
      <c r="J494" s="37"/>
      <c r="K494" s="37"/>
      <c r="L494" s="37"/>
      <c r="M494" s="37"/>
      <c r="N494" s="37"/>
      <c r="O494" s="37"/>
      <c r="P494" s="37"/>
      <c r="Q494" s="37"/>
      <c r="R494" s="37"/>
      <c r="S494" s="37"/>
      <c r="T494" s="37"/>
      <c r="U494" s="37"/>
      <c r="V494" s="37"/>
      <c r="W494" s="37"/>
      <c r="X494" s="37"/>
      <c r="Y494" s="37"/>
      <c r="Z494" s="37"/>
      <c r="AA494" s="37"/>
      <c r="AB494" s="37"/>
      <c r="AC494" s="37"/>
      <c r="AD494" s="37"/>
      <c r="AE494" s="37"/>
    </row>
    <row r="495" spans="1:31" x14ac:dyDescent="0.25">
      <c r="A495" s="37"/>
      <c r="B495" s="37"/>
      <c r="C495" s="37"/>
      <c r="D495" s="37"/>
      <c r="E495" s="37"/>
      <c r="F495" s="37"/>
      <c r="G495" s="37"/>
      <c r="H495" s="37"/>
      <c r="I495" s="37"/>
      <c r="J495" s="37"/>
      <c r="K495" s="37"/>
      <c r="L495" s="37"/>
      <c r="M495" s="37"/>
      <c r="N495" s="37"/>
      <c r="O495" s="37"/>
      <c r="P495" s="37"/>
      <c r="Q495" s="37"/>
      <c r="R495" s="37"/>
      <c r="S495" s="37"/>
      <c r="T495" s="37"/>
      <c r="U495" s="37"/>
      <c r="V495" s="37"/>
      <c r="W495" s="37"/>
      <c r="X495" s="37"/>
      <c r="Y495" s="37"/>
      <c r="Z495" s="37"/>
      <c r="AA495" s="37"/>
      <c r="AB495" s="37"/>
      <c r="AC495" s="37"/>
      <c r="AD495" s="37"/>
      <c r="AE495" s="37"/>
    </row>
    <row r="496" spans="1:31" x14ac:dyDescent="0.25">
      <c r="A496" s="37"/>
      <c r="B496" s="37"/>
      <c r="C496" s="37"/>
      <c r="D496" s="37"/>
      <c r="E496" s="37"/>
      <c r="F496" s="37"/>
      <c r="G496" s="37"/>
      <c r="H496" s="37"/>
      <c r="I496" s="37"/>
      <c r="J496" s="37"/>
      <c r="K496" s="37"/>
      <c r="L496" s="37"/>
      <c r="M496" s="37"/>
      <c r="N496" s="37"/>
      <c r="O496" s="37"/>
      <c r="P496" s="37"/>
      <c r="Q496" s="37"/>
      <c r="R496" s="37"/>
      <c r="S496" s="37"/>
      <c r="T496" s="37"/>
      <c r="U496" s="37"/>
      <c r="V496" s="37"/>
      <c r="W496" s="37"/>
      <c r="X496" s="37"/>
      <c r="Y496" s="37"/>
      <c r="Z496" s="37"/>
      <c r="AA496" s="37"/>
      <c r="AB496" s="37"/>
      <c r="AC496" s="37"/>
      <c r="AD496" s="37"/>
      <c r="AE496" s="37"/>
    </row>
    <row r="497" spans="1:31" x14ac:dyDescent="0.25">
      <c r="A497" s="37"/>
      <c r="B497" s="37"/>
      <c r="C497" s="37"/>
      <c r="D497" s="37"/>
      <c r="E497" s="37"/>
      <c r="F497" s="37"/>
      <c r="G497" s="37"/>
      <c r="H497" s="37"/>
      <c r="I497" s="37"/>
      <c r="J497" s="37"/>
      <c r="K497" s="37"/>
      <c r="L497" s="37"/>
      <c r="M497" s="37"/>
      <c r="N497" s="37"/>
      <c r="O497" s="37"/>
      <c r="P497" s="37"/>
      <c r="Q497" s="37"/>
      <c r="R497" s="37"/>
      <c r="S497" s="37"/>
      <c r="T497" s="37"/>
      <c r="U497" s="37"/>
      <c r="V497" s="37"/>
      <c r="W497" s="37"/>
      <c r="X497" s="37"/>
      <c r="Y497" s="37"/>
      <c r="Z497" s="37"/>
      <c r="AA497" s="37"/>
      <c r="AB497" s="37"/>
      <c r="AC497" s="37"/>
      <c r="AD497" s="37"/>
      <c r="AE497" s="37"/>
    </row>
    <row r="498" spans="1:31" x14ac:dyDescent="0.25">
      <c r="A498" s="37"/>
      <c r="B498" s="37"/>
      <c r="C498" s="37"/>
      <c r="D498" s="37"/>
      <c r="E498" s="37"/>
      <c r="F498" s="37"/>
      <c r="G498" s="37"/>
      <c r="H498" s="37"/>
      <c r="I498" s="37"/>
      <c r="J498" s="37"/>
      <c r="K498" s="37"/>
      <c r="L498" s="37"/>
      <c r="M498" s="37"/>
      <c r="N498" s="37"/>
      <c r="O498" s="37"/>
      <c r="P498" s="37"/>
      <c r="Q498" s="37"/>
      <c r="R498" s="37"/>
      <c r="S498" s="37"/>
      <c r="T498" s="37"/>
      <c r="U498" s="37"/>
      <c r="V498" s="37"/>
      <c r="W498" s="37"/>
      <c r="X498" s="37"/>
      <c r="Y498" s="37"/>
      <c r="Z498" s="37"/>
      <c r="AA498" s="37"/>
      <c r="AB498" s="37"/>
      <c r="AC498" s="37"/>
      <c r="AD498" s="37"/>
      <c r="AE498" s="37"/>
    </row>
    <row r="499" spans="1:31" x14ac:dyDescent="0.25">
      <c r="A499" s="37"/>
      <c r="B499" s="37"/>
      <c r="C499" s="37"/>
      <c r="D499" s="37"/>
      <c r="E499" s="37"/>
      <c r="F499" s="37"/>
      <c r="G499" s="37"/>
      <c r="H499" s="37"/>
      <c r="I499" s="37"/>
      <c r="J499" s="37"/>
      <c r="K499" s="37"/>
      <c r="L499" s="37"/>
      <c r="M499" s="37"/>
      <c r="N499" s="37"/>
      <c r="O499" s="37"/>
      <c r="P499" s="37"/>
      <c r="Q499" s="37"/>
      <c r="R499" s="37"/>
      <c r="S499" s="37"/>
      <c r="T499" s="37"/>
      <c r="U499" s="37"/>
      <c r="V499" s="37"/>
      <c r="W499" s="37"/>
      <c r="X499" s="37"/>
      <c r="Y499" s="37"/>
      <c r="Z499" s="37"/>
      <c r="AA499" s="37"/>
      <c r="AB499" s="37"/>
      <c r="AC499" s="37"/>
      <c r="AD499" s="37"/>
      <c r="AE499" s="37"/>
    </row>
    <row r="500" spans="1:31" x14ac:dyDescent="0.25">
      <c r="A500" s="37"/>
      <c r="B500" s="37"/>
      <c r="C500" s="37"/>
      <c r="D500" s="37"/>
      <c r="E500" s="37"/>
      <c r="F500" s="37"/>
      <c r="G500" s="37"/>
      <c r="H500" s="37"/>
      <c r="I500" s="37"/>
      <c r="J500" s="37"/>
      <c r="K500" s="37"/>
      <c r="L500" s="37"/>
      <c r="M500" s="37"/>
      <c r="N500" s="37"/>
      <c r="O500" s="37"/>
      <c r="P500" s="37"/>
      <c r="Q500" s="37"/>
      <c r="R500" s="37"/>
      <c r="S500" s="37"/>
      <c r="T500" s="37"/>
      <c r="U500" s="37"/>
      <c r="V500" s="37"/>
      <c r="W500" s="37"/>
      <c r="X500" s="37"/>
      <c r="Y500" s="37"/>
      <c r="Z500" s="37"/>
      <c r="AA500" s="37"/>
      <c r="AB500" s="37"/>
      <c r="AC500" s="37"/>
      <c r="AD500" s="37"/>
      <c r="AE500" s="37"/>
    </row>
  </sheetData>
  <mergeCells count="2">
    <mergeCell ref="A1:O1"/>
    <mergeCell ref="Q1:A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User_Credential</vt:lpstr>
      <vt:lpstr>Config</vt:lpstr>
      <vt:lpstr>Chartink_Result</vt:lpstr>
      <vt:lpstr>Trade_Terminal</vt:lpstr>
      <vt:lpstr>OpenPosition</vt:lpstr>
      <vt:lpstr>OrderBook</vt:lpstr>
      <vt:lpstr>Holdings</vt:lpstr>
      <vt:lpstr>Option_Chain_Input</vt:lpstr>
      <vt:lpstr>Option_Chain_Output</vt:lpstr>
      <vt:lpstr>Option_Chain_Pro_Input</vt:lpstr>
      <vt:lpstr>Option_Chain_Pro_Output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MANJESH</dc:creator>
  <cp:lastModifiedBy>Girish P</cp:lastModifiedBy>
  <dcterms:created xsi:type="dcterms:W3CDTF">2022-11-23T02:17:55Z</dcterms:created>
  <dcterms:modified xsi:type="dcterms:W3CDTF">2026-04-14T13:11:15Z</dcterms:modified>
</cp:coreProperties>
</file>